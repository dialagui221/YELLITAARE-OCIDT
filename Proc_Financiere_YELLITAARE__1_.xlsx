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Modele d'organisation Thidé\Yellitaar\"/>
    </mc:Choice>
  </mc:AlternateContent>
  <xr:revisionPtr revIDLastSave="0" documentId="13_ncr:1_{934EA113-065E-4256-A741-28653C33DBBD}" xr6:coauthVersionLast="47" xr6:coauthVersionMax="47" xr10:uidLastSave="{00000000-0000-0000-0000-000000000000}"/>
  <bookViews>
    <workbookView xWindow="-96" yWindow="-96" windowWidth="19392" windowHeight="10272" tabRatio="500" xr2:uid="{00000000-000D-0000-FFFF-FFFF00000000}"/>
  </bookViews>
  <sheets>
    <sheet name="0. Note d utilisation" sheetId="1" r:id="rId1"/>
    <sheet name="1. Seuils &amp; Autorisations" sheetId="2" r:id="rId2"/>
    <sheet name="2. Bon de Dépense" sheetId="3" r:id="rId3"/>
    <sheet name="3. Registre Dépenses" sheetId="4" r:id="rId4"/>
    <sheet name="4. Registre Cotisations" sheetId="5" r:id="rId5"/>
    <sheet name="5. Tableau de Bord" sheetId="6" r:id="rId6"/>
  </sheets>
  <definedNames>
    <definedName name="_xlnm.Print_Titles" localSheetId="0">'0. Note d utilisation'!$1:$2</definedName>
    <definedName name="_xlnm.Print_Titles" localSheetId="1">'1. Seuils &amp; Autorisations'!$1:$2</definedName>
    <definedName name="_xlnm.Print_Titles" localSheetId="2">'2. Bon de Dépense'!$1:$2</definedName>
    <definedName name="_xlnm.Print_Titles" localSheetId="3">'3. Registre Dépenses'!$1:$2</definedName>
    <definedName name="_xlnm.Print_Titles" localSheetId="4">'4. Registre Cotisations'!$1:$2</definedName>
    <definedName name="_xlnm.Print_Titles" localSheetId="5">'5. Tableau de Bord'!$1:$2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6" l="1"/>
  <c r="E11" i="6"/>
  <c r="E10" i="6"/>
  <c r="E42" i="5"/>
  <c r="D5" i="6" s="1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G8" i="5"/>
  <c r="G7" i="5"/>
  <c r="G6" i="5"/>
  <c r="E31" i="4"/>
  <c r="C5" i="6" s="1"/>
  <c r="H30" i="4"/>
  <c r="A30" i="4"/>
  <c r="H29" i="4"/>
  <c r="A29" i="4"/>
  <c r="H28" i="4"/>
  <c r="A28" i="4"/>
  <c r="H27" i="4"/>
  <c r="A27" i="4"/>
  <c r="H26" i="4"/>
  <c r="A26" i="4"/>
  <c r="H25" i="4"/>
  <c r="A25" i="4"/>
  <c r="H24" i="4"/>
  <c r="A24" i="4"/>
  <c r="H23" i="4"/>
  <c r="A23" i="4"/>
  <c r="H22" i="4"/>
  <c r="A22" i="4"/>
  <c r="H21" i="4"/>
  <c r="A21" i="4"/>
  <c r="H20" i="4"/>
  <c r="A20" i="4"/>
  <c r="H19" i="4"/>
  <c r="A19" i="4"/>
  <c r="H18" i="4"/>
  <c r="A18" i="4"/>
  <c r="H17" i="4"/>
  <c r="A17" i="4"/>
  <c r="H16" i="4"/>
  <c r="A16" i="4"/>
  <c r="H15" i="4"/>
  <c r="A15" i="4"/>
  <c r="H14" i="4"/>
  <c r="A14" i="4"/>
  <c r="H13" i="4"/>
  <c r="A13" i="4"/>
  <c r="H12" i="4"/>
  <c r="A12" i="4"/>
  <c r="H11" i="4"/>
  <c r="A11" i="4"/>
  <c r="F8" i="4"/>
  <c r="G8" i="4" s="1"/>
  <c r="G12" i="6" s="1"/>
  <c r="E8" i="4"/>
  <c r="F12" i="6" s="1"/>
  <c r="F7" i="4"/>
  <c r="G7" i="4" s="1"/>
  <c r="G11" i="6" s="1"/>
  <c r="E7" i="4"/>
  <c r="F11" i="6" s="1"/>
  <c r="F6" i="4"/>
  <c r="G6" i="4" s="1"/>
  <c r="E6" i="4"/>
  <c r="F10" i="6" s="1"/>
  <c r="E17" i="3"/>
  <c r="E5" i="6" l="1"/>
  <c r="G10" i="6"/>
  <c r="B5" i="6"/>
</calcChain>
</file>

<file path=xl/sharedStrings.xml><?xml version="1.0" encoding="utf-8"?>
<sst xmlns="http://schemas.openxmlformats.org/spreadsheetml/2006/main" count="276" uniqueCount="223">
  <si>
    <t>YELLITAARÉ THIDÉ — OUTIL DE PROCÉDURES FINANCIÈRES</t>
  </si>
  <si>
    <t>Note d'utilisation — Guide complet de l'outil</t>
  </si>
  <si>
    <t>Cet outil opérationnalise les Articles 47, 47 bis, 48, 49, 50 et 52 des Statuts de Yellitaaré Thidé. Il comprend 5 feuilles de travail décrites ci-dessous.</t>
  </si>
  <si>
    <t>1.  DESCRIPTION DES ONGLETS</t>
  </si>
  <si>
    <t xml:space="preserve">  📄  1. Seuils &amp; Autorisations  —  Tableau de référence statutaire</t>
  </si>
  <si>
    <t>Consultez cet onglet pour connaître immédiatement le niveau d'autorisation requis selon le montant d'une dépense. Contient aussi les plafonds anti-fractionnement (Art. 47 bis) et les modes de paiement autorisés.</t>
  </si>
  <si>
    <t>Lecture seule — référence</t>
  </si>
  <si>
    <t xml:space="preserve">  📄  2. Bon de Dépense  —  Formulaire de demande de dépense</t>
  </si>
  <si>
    <t>Remplissez un bon par dépense. Saisissez le montant : le niveau d'autorisation requis s'affiche automatiquement en couleur. Imprimez le bon, faites-le signer, archivez-le avec le justificatif.</t>
  </si>
  <si>
    <t>Un bon par dépense</t>
  </si>
  <si>
    <t xml:space="preserve">  📄  3. Registre Dépenses  —  Journal chronologique des dépenses</t>
  </si>
  <si>
    <t>Saisissez chaque dépense validée. Le tableau surveille les plafonds cumulés en temps réel et déclenche des alertes colorées (🟢 OK / 🟠 80% / 🔴 DÉPASSÉ). Les menus déroulants guident la saisie.</t>
  </si>
  <si>
    <t>Mise à jour après chaque paiement</t>
  </si>
  <si>
    <t xml:space="preserve">  📄  4. Registre Cotisations  —  Suivi nominatif des cotisations</t>
  </si>
  <si>
    <t>Enregistrez chaque versement de cotisation avec le numéro de reçu. Le statut (✓ À jour / ⚠ Partiel / ✗ Impayé) se colore automatiquement. Le taux de recouvrement par section est calculé en temps réel.</t>
  </si>
  <si>
    <t>Mise à jour à chaque versement</t>
  </si>
  <si>
    <t xml:space="preserve">  📄  5. Tableau de Bord  —  Vue synthétique et alertes</t>
  </si>
  <si>
    <t>Synthèse automatique : total cotisations, total dépenses, solde disponible, alertes de plafonds actives. Aucune saisie requise — toutes les données proviennent des onglets 3 et 4.</t>
  </si>
  <si>
    <t>Consultation uniquement</t>
  </si>
  <si>
    <t>2.  FLUX DE TRAVAIL — COMMENT TRAITER UNE DÉPENSE</t>
  </si>
  <si>
    <t>①  Vérifier le seuil</t>
  </si>
  <si>
    <t>Consulter l'onglet « 1. Seuils &amp; Autorisations » — identifier le niveau requis selon le montant unitaire ET les plafonds cumulés déjà atteints.</t>
  </si>
  <si>
    <t>②  Remplir le Bon de Dépense</t>
  </si>
  <si>
    <t>Ouvrir l'onglet « 2. Bon de Dépense » — saisir le montant, l'objet, le bénéficiaire. Le niveau d'autorisation s'affiche automatiquement.</t>
  </si>
  <si>
    <t>③  Obtenir les signatures</t>
  </si>
  <si>
    <t>Imprimer ou faire circuler le bon — collecter les signatures obligatoires selon le niveau : Trésorier seul / + Président CG / + Visa COSC / Vote AG.</t>
  </si>
  <si>
    <t>④  Effectuer le paiement</t>
  </si>
  <si>
    <t>Procéder au paiement par le mode autorisé (virement, chèque, mobile money). Espèces uniquement si ≤ 5 000 MRU avec reçu signé bénéficiaire.</t>
  </si>
  <si>
    <t>⑤  Enregistrer dans le Registre</t>
  </si>
  <si>
    <t>Saisir la dépense dans l'onglet « 3. Registre Dépenses » avec le numéro de bon et la pièce justificative. Vérifier que les plafonds cumulés ne déclenchent pas d'alerte.</t>
  </si>
  <si>
    <t>⑥  Signaler si alerte 80 %</t>
  </si>
  <si>
    <t>Si le cumul mensuel/trimestriel/semestriel atteint 80 % du plafond applicable : signaler immédiatement au Président CG et au COSC (Art. 47 bis §5).</t>
  </si>
  <si>
    <t>3.  RÈGLES CRITIQUES À NE JAMAIS OUBLIER</t>
  </si>
  <si>
    <t>🚫  Zéro compte personnel</t>
  </si>
  <si>
    <t>Aucun fonds de l'organisation ne transite par un compte personnel, quelle que soit la situation (Art. 46).</t>
  </si>
  <si>
    <t>🚫  Zéro fractionnement</t>
  </si>
  <si>
    <t>Diviser une dépense en plusieurs petites opérations pour contourner un seuil est formellement interdit et constitue une faute grave (Art. 47 bis §4).</t>
  </si>
  <si>
    <t>🚫  Zéro paiement sans bon</t>
  </si>
  <si>
    <t>Tout paiement doit être précédé d'un bon de commande validé par les signataires requis (Art. 48).</t>
  </si>
  <si>
    <t>⚠  Alerte obligatoire à 80 %</t>
  </si>
  <si>
    <t>Le Trésorier est tenu de signaler au Président CG et au COSC dès que le cumul atteint 80 % du plafond — sans attendre le dépassement.</t>
  </si>
  <si>
    <t>⚠  Dépassement = faute grave</t>
  </si>
  <si>
    <t>Tout dépassement de plafond non autorisé préalablement déclenche automatiquement la procédure disciplinaire de l'Art. 60.</t>
  </si>
  <si>
    <t>✅  Reçu numéroté systématique</t>
  </si>
  <si>
    <t>Chaque cotisant reçoit obligatoirement un reçu numéroté. Le registre nominatif est mis à jour à chaque versement (Art. 50).</t>
  </si>
  <si>
    <t>✅  Transparence COSC</t>
  </si>
  <si>
    <t>Le COSC peut vérifier la caisse, consulter les registres et demander un audit externe à tout moment et à la majorité des 2/3 (Art. 49, 53).</t>
  </si>
  <si>
    <t>4.  RÉFÉRENCES STATUTAIRES</t>
  </si>
  <si>
    <t>Article</t>
  </si>
  <si>
    <t>Objet</t>
  </si>
  <si>
    <t>Art. 46</t>
  </si>
  <si>
    <t>Compte bancaire unique — interdiction des comptes personnels</t>
  </si>
  <si>
    <t>Art. 47</t>
  </si>
  <si>
    <t>Seuils d'autorisation des dépenses par opération</t>
  </si>
  <si>
    <t>Art. 47 bis</t>
  </si>
  <si>
    <t>Plafonds cumulés — lutte contre le fractionnement</t>
  </si>
  <si>
    <t>Art. 48</t>
  </si>
  <si>
    <t>Procédures de paiement — modes autorisés et justificatifs</t>
  </si>
  <si>
    <t>Art. 49</t>
  </si>
  <si>
    <t>Gestion de la petite caisse</t>
  </si>
  <si>
    <t>Art. 50</t>
  </si>
  <si>
    <t>Registre nominatif des cotisations</t>
  </si>
  <si>
    <t>Art. 51</t>
  </si>
  <si>
    <t>Neutralité financière — ziyara et intronisations</t>
  </si>
  <si>
    <t>Art. 52</t>
  </si>
  <si>
    <t>Rapports financiers périodiques (mensuel, trimestriel, semestriel, annuel)</t>
  </si>
  <si>
    <t>Art. 53</t>
  </si>
  <si>
    <t>Audit et contrôle externe</t>
  </si>
  <si>
    <t>Art. 54</t>
  </si>
  <si>
    <t>Fonds de réserve</t>
  </si>
  <si>
    <t>Art. 60</t>
  </si>
  <si>
    <t>Procédure disciplinaire — fautes graves</t>
  </si>
  <si>
    <t>Document interne — Yellitaaré Thidé  ·  Outil conforme aux Statuts (Titre VI, Art. 45-54)  ·  Toute modification doit être validée par le COSC</t>
  </si>
  <si>
    <t>YELLITAARÉ THIDÉ — PROCÉDURES FINANCIÈRES</t>
  </si>
  <si>
    <t>Guide opérationnel — Seuils d'autorisation des dépenses  |  Art. 47 &amp; 47 bis</t>
  </si>
  <si>
    <t>A. SEUILS D'AUTORISATION PAR OPÉRATION (Art. 47)</t>
  </si>
  <si>
    <t>Montant unitaire</t>
  </si>
  <si>
    <t>Plafond cumulé</t>
  </si>
  <si>
    <t>Période</t>
  </si>
  <si>
    <t>Autorisation requise</t>
  </si>
  <si>
    <t>Signataires obligatoires</t>
  </si>
  <si>
    <t>Visa COSC</t>
  </si>
  <si>
    <t>Réf. Statuts</t>
  </si>
  <si>
    <t>≤ 5 000 MRU</t>
  </si>
  <si>
    <t>20 000 MRU</t>
  </si>
  <si>
    <t>/ Trimestre</t>
  </si>
  <si>
    <t>Décision du Trésorier seul</t>
  </si>
  <si>
    <t>Trésorier + Président</t>
  </si>
  <si>
    <t>Non requis</t>
  </si>
  <si>
    <t>5 001 – 50 000 MRU</t>
  </si>
  <si>
    <t>100 000 MRU</t>
  </si>
  <si>
    <t>Accord du Président du CG</t>
  </si>
  <si>
    <t>Trésorier + Président + Visa COSC</t>
  </si>
  <si>
    <t>Obligatoire</t>
  </si>
  <si>
    <t>50 001–200 000 MRU</t>
  </si>
  <si>
    <t>200 000 MRU</t>
  </si>
  <si>
    <t>/ Semestre</t>
  </si>
  <si>
    <t>Décision du CG en réunion</t>
  </si>
  <si>
    <t>&gt; 200 000 MRU</t>
  </si>
  <si>
    <t>Sans plafond</t>
  </si>
  <si>
    <t>—</t>
  </si>
  <si>
    <t>Approbation de l'AG (vote requis)</t>
  </si>
  <si>
    <t>B. PLAFONDS CUMULÉS — LUTTE CONTRE LE FRACTIONNEMENT (Art. 47 bis)</t>
  </si>
  <si>
    <t>Acteur</t>
  </si>
  <si>
    <t>Plafond</t>
  </si>
  <si>
    <t>Déclencheur d'alerte (80%)</t>
  </si>
  <si>
    <t>Conséquence du dépassement</t>
  </si>
  <si>
    <t>Réf.</t>
  </si>
  <si>
    <t>Trésorier (seul)</t>
  </si>
  <si>
    <t>Mensuel</t>
  </si>
  <si>
    <t>16 000 MRU</t>
  </si>
  <si>
    <t>Accord Président CG requis même si op. &lt; 5 000 MRU</t>
  </si>
  <si>
    <t>Art. 47 bis §1</t>
  </si>
  <si>
    <t>Président CG (seul)</t>
  </si>
  <si>
    <t>Trimestriel</t>
  </si>
  <si>
    <t>80 000 MRU</t>
  </si>
  <si>
    <t>Décision formelle du CG en réunion obligatoire</t>
  </si>
  <si>
    <t>Art. 47 bis §2</t>
  </si>
  <si>
    <t>CG en réunion</t>
  </si>
  <si>
    <t>Semestriel</t>
  </si>
  <si>
    <t>160 000 MRU</t>
  </si>
  <si>
    <t>Saisine obligatoire de l'AG même si op. &lt; 200 000 MRU</t>
  </si>
  <si>
    <t>Art. 47 bis §3</t>
  </si>
  <si>
    <t>Opération fractionnée</t>
  </si>
  <si>
    <t>Montant total</t>
  </si>
  <si>
    <t>Immédiat</t>
  </si>
  <si>
    <t>Requalifiée comme dépense unique — autorisation totale</t>
  </si>
  <si>
    <t>Art. 47 bis §4</t>
  </si>
  <si>
    <t>C. PROCÉDURES DE PAIEMENT (Art. 48 &amp; 49)</t>
  </si>
  <si>
    <t>Mode de paiement</t>
  </si>
  <si>
    <t>Limite</t>
  </si>
  <si>
    <t>Justificatif requis</t>
  </si>
  <si>
    <t>Responsable</t>
  </si>
  <si>
    <t>Virement / Chèque / Mobile money</t>
  </si>
  <si>
    <t>Tout montant &gt; 5 000 MRU</t>
  </si>
  <si>
    <t>Bon de commande validé obligatoire</t>
  </si>
  <si>
    <t>Trésorier + Président selon seuil</t>
  </si>
  <si>
    <t>Espèces</t>
  </si>
  <si>
    <t>≤ 5 000 MRU max</t>
  </si>
  <si>
    <t>Reçu signé par le bénéficiaire</t>
  </si>
  <si>
    <t>Trésorier seul</t>
  </si>
  <si>
    <t>Petite caisse</t>
  </si>
  <si>
    <t>Plafond fixé par CG</t>
  </si>
  <si>
    <t>Arrêté hebdomadaire obligatoire</t>
  </si>
  <si>
    <t>Trésorier Adjoint — vérif. COSC</t>
  </si>
  <si>
    <t>⚠  ALERTE : Tout dépassement de plafond non autorisé préalablement constitue une FAUTE GRAVE → procédure disciplinaire Art. 60</t>
  </si>
  <si>
    <t>YELLITAARÉ THIDÉ — BON DE DÉPENSE</t>
  </si>
  <si>
    <t>Document obligatoire pour toute dépense — Art. 47, 47 bis &amp; 48  |  Yellitaaré Thidé</t>
  </si>
  <si>
    <t>IDENTIFICATION DE LA DÉPENSE</t>
  </si>
  <si>
    <t>N° Bon</t>
  </si>
  <si>
    <t>Référence unique auto-générée</t>
  </si>
  <si>
    <t>Date</t>
  </si>
  <si>
    <t>JJ/MM/AAAA</t>
  </si>
  <si>
    <t>Demandeur</t>
  </si>
  <si>
    <t>Nom et fonction</t>
  </si>
  <si>
    <t>Objet de la dépense</t>
  </si>
  <si>
    <t>Description précise</t>
  </si>
  <si>
    <t>MONTANT ET AUTORISATION</t>
  </si>
  <si>
    <t>Montant (MRU)</t>
  </si>
  <si>
    <t>Saisir le montant exact</t>
  </si>
  <si>
    <t>Virement / Chèque / Mobile money / Espèces</t>
  </si>
  <si>
    <t>Fournisseur / Bénéficiaire</t>
  </si>
  <si>
    <t>Nom complet</t>
  </si>
  <si>
    <t>Compte / Numéro</t>
  </si>
  <si>
    <t>RIB ou numéro mobile money</t>
  </si>
  <si>
    <t>NIVEAU D'AUTORISATION REQUIS (calculé automatiquement)</t>
  </si>
  <si>
    <t>Niveau d'autorisation :</t>
  </si>
  <si>
    <t>SIGNATURES ET VALIDATIONS</t>
  </si>
  <si>
    <t>Trésorier</t>
  </si>
  <si>
    <t>Président CG</t>
  </si>
  <si>
    <t>Nom :</t>
  </si>
  <si>
    <t>Signature :</t>
  </si>
  <si>
    <t>Date :</t>
  </si>
  <si>
    <t>YELLITAARÉ THIDÉ — REGISTRE DES DÉPENSES</t>
  </si>
  <si>
    <t>Tenu par le Trésorier — Art. 47, 48, 52 | Consultable par le COSC à tout moment</t>
  </si>
  <si>
    <t>SUIVI DES PLAFONDS CUMULÉS — ANTI-FRACTIONNEMENT (Art. 47 bis)</t>
  </si>
  <si>
    <t>Dépenses engagées (MRU)</t>
  </si>
  <si>
    <t>Solde disponible (MRU)</t>
  </si>
  <si>
    <t>Alerte 80%</t>
  </si>
  <si>
    <t>Statut</t>
  </si>
  <si>
    <t>Président CG seul</t>
  </si>
  <si>
    <t>REGISTRE DÉTAILLÉ DES DÉPENSES</t>
  </si>
  <si>
    <t>N°</t>
  </si>
  <si>
    <t>Bénéficiaire</t>
  </si>
  <si>
    <t>Mode paiement</t>
  </si>
  <si>
    <t>Niveau autorisation</t>
  </si>
  <si>
    <t>Trésorier ✓</t>
  </si>
  <si>
    <t>Président ✓</t>
  </si>
  <si>
    <t>COSC ✓</t>
  </si>
  <si>
    <t>TOTAL DÉPENSES :</t>
  </si>
  <si>
    <t>YELLITAARÉ THIDÉ — REGISTRE DES COTISATIONS</t>
  </si>
  <si>
    <t>Tenu par le Trésorier Adjoint — Art. 50 | Un reçu numéroté remis à chaque cotisant | Consultable par le COSC</t>
  </si>
  <si>
    <t>SYNTHÈSE DES COTISATIONS PAR SECTION</t>
  </si>
  <si>
    <t>Section</t>
  </si>
  <si>
    <t>Membres inscrits</t>
  </si>
  <si>
    <t>Cotisants à jour</t>
  </si>
  <si>
    <t>Taux recouvrement</t>
  </si>
  <si>
    <t>Total collecté (MRU)</t>
  </si>
  <si>
    <t>Section 1 — Village</t>
  </si>
  <si>
    <t>Section 2 — Nationaux</t>
  </si>
  <si>
    <t>Section 3 — Diaspora</t>
  </si>
  <si>
    <t>REGISTRE NOMINATIF DES COTISATIONS</t>
  </si>
  <si>
    <t>Nom et Prénom</t>
  </si>
  <si>
    <t>Catégorie</t>
  </si>
  <si>
    <t>N° Reçu</t>
  </si>
  <si>
    <t>Date versement</t>
  </si>
  <si>
    <t>Observations</t>
  </si>
  <si>
    <t>TOTAL COLLECTÉ :</t>
  </si>
  <si>
    <t>YELLITAARÉ THIDÉ — TABLEAU DE BORD FINANCIER</t>
  </si>
  <si>
    <t>Vue synthétique — Cotisations · Dépenses · Plafonds · Alertes  |  Art. 47, 50, 52</t>
  </si>
  <si>
    <t>💰 Total Cotisations</t>
  </si>
  <si>
    <t>📤 Total Dépenses</t>
  </si>
  <si>
    <t>🏦 Solde Disponible</t>
  </si>
  <si>
    <t>⚠ Alertes Actives</t>
  </si>
  <si>
    <t>SUIVI DES PLAFONDS EN TEMPS RÉEL</t>
  </si>
  <si>
    <t>Utilisé</t>
  </si>
  <si>
    <t>Disponible</t>
  </si>
  <si>
    <t>RAPPEL DES RÈGLES CLÉS (Art. 47 bis)</t>
  </si>
  <si>
    <t>▸  Signaler au Président CG et au COSC dès que le cumul atteint 80 % du plafond applicable</t>
  </si>
  <si>
    <t>▸  Toute opération fractionnée sur un même objet ou fournisseur = requalifiée en dépense unique</t>
  </si>
  <si>
    <t>▸  Tout dépassement non autorisé = faute grave → procédure disciplinaire Art. 60</t>
  </si>
  <si>
    <t>▸  Pas de compte personnel pour les fonds communautaires (Art. 46)</t>
  </si>
  <si>
    <t>▸  Tout paiement supérieur à 5 000 MRU : virement / chèque / mobile money uniquement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</si>
</sst>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&quot; MRU&quot;"/>
    <numFmt numFmtId="165" formatCode="0.0%"/>
  </numFmts>
  <fonts count="42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2"/>
      <color rgb="FFFFFFFF"/>
      <name val="Arial"/>
      <charset val="1"/>
    </font>
    <font>
      <i/>
      <sz val="10"/>
      <color rgb="FF1F4E79"/>
      <name val="Arial"/>
      <charset val="1"/>
    </font>
    <font>
      <b/>
      <sz val="11"/>
      <color rgb="FFFFFFFF"/>
      <name val="Arial"/>
      <charset val="1"/>
    </font>
    <font>
      <sz val="10"/>
      <color rgb="FF333333"/>
      <name val="Arial"/>
      <charset val="1"/>
    </font>
    <font>
      <b/>
      <sz val="9"/>
      <color rgb="FF2E74B5"/>
      <name val="Arial"/>
      <charset val="1"/>
    </font>
    <font>
      <b/>
      <sz val="9"/>
      <color rgb="FF4A148C"/>
      <name val="Arial"/>
      <charset val="1"/>
    </font>
    <font>
      <b/>
      <sz val="9"/>
      <color rgb="FF1A5C2A"/>
      <name val="Arial"/>
      <charset val="1"/>
    </font>
    <font>
      <b/>
      <sz val="9"/>
      <color rgb="FFF57F17"/>
      <name val="Arial"/>
      <charset val="1"/>
    </font>
    <font>
      <b/>
      <sz val="9"/>
      <color rgb="FFC00000"/>
      <name val="Arial"/>
      <charset val="1"/>
    </font>
    <font>
      <b/>
      <sz val="10"/>
      <color rgb="FFC00000"/>
      <name val="Arial"/>
      <charset val="1"/>
    </font>
    <font>
      <b/>
      <sz val="10"/>
      <color rgb="FFE65100"/>
      <name val="Arial"/>
      <charset val="1"/>
    </font>
    <font>
      <b/>
      <sz val="10"/>
      <color rgb="FF1A5C2A"/>
      <name val="Arial"/>
      <charset val="1"/>
    </font>
    <font>
      <b/>
      <sz val="10"/>
      <color rgb="FFFFFFFF"/>
      <name val="Arial"/>
      <charset val="1"/>
    </font>
    <font>
      <b/>
      <sz val="10"/>
      <color rgb="FF4A148C"/>
      <name val="Arial"/>
      <charset val="1"/>
    </font>
    <font>
      <i/>
      <sz val="9"/>
      <color rgb="FF888888"/>
      <name val="Arial"/>
      <charset val="1"/>
    </font>
    <font>
      <b/>
      <sz val="16"/>
      <color rgb="FFFFFFFF"/>
      <name val="Arial"/>
      <charset val="1"/>
    </font>
    <font>
      <i/>
      <sz val="10"/>
      <color rgb="FFFFFFFF"/>
      <name val="Arial"/>
      <charset val="1"/>
    </font>
    <font>
      <sz val="10"/>
      <color rgb="FF424242"/>
      <name val="Arial"/>
      <charset val="1"/>
    </font>
    <font>
      <b/>
      <sz val="10"/>
      <color rgb="FF1F4E79"/>
      <name val="Arial"/>
      <charset val="1"/>
    </font>
    <font>
      <b/>
      <sz val="10"/>
      <color rgb="FF424242"/>
      <name val="Arial"/>
      <charset val="1"/>
    </font>
    <font>
      <sz val="10"/>
      <color rgb="FFC00000"/>
      <name val="Arial"/>
      <charset val="1"/>
    </font>
    <font>
      <b/>
      <sz val="15"/>
      <color rgb="FFFFFFFF"/>
      <name val="Arial"/>
      <charset val="1"/>
    </font>
    <font>
      <sz val="10"/>
      <color rgb="FF000000"/>
      <name val="Arial"/>
      <charset val="1"/>
    </font>
    <font>
      <sz val="10"/>
      <color rgb="FF1A5C2A"/>
      <name val="Arial"/>
      <charset val="1"/>
    </font>
    <font>
      <sz val="10"/>
      <color rgb="FF1F4E79"/>
      <name val="Arial"/>
      <charset val="1"/>
    </font>
    <font>
      <b/>
      <sz val="10"/>
      <color rgb="FFF57F17"/>
      <name val="Arial"/>
      <charset val="1"/>
    </font>
    <font>
      <sz val="10"/>
      <color rgb="FFF57F17"/>
      <name val="Arial"/>
      <charset val="1"/>
    </font>
    <font>
      <i/>
      <sz val="11"/>
      <color rgb="FFFFFFFF"/>
      <name val="Arial"/>
      <charset val="1"/>
    </font>
    <font>
      <b/>
      <sz val="11"/>
      <color rgb="FF1A5C2A"/>
      <name val="Arial"/>
      <charset val="1"/>
    </font>
    <font>
      <b/>
      <sz val="11"/>
      <color rgb="FFC00000"/>
      <name val="Arial"/>
      <charset val="1"/>
    </font>
    <font>
      <b/>
      <sz val="11"/>
      <color rgb="FF2E74B5"/>
      <name val="Arial"/>
      <charset val="1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12"/>
      <color rgb="FF1A5C2A"/>
      <name val="Arial"/>
      <family val="2"/>
    </font>
    <font>
      <b/>
      <sz val="12"/>
      <color rgb="FFC00000"/>
      <name val="Arial"/>
      <family val="2"/>
    </font>
    <font>
      <b/>
      <sz val="12"/>
      <color rgb="FF2E74B5"/>
      <name val="Arial"/>
      <family val="2"/>
    </font>
    <font>
      <b/>
      <sz val="11"/>
      <color rgb="FFE65100"/>
      <name val="Arial"/>
      <family val="2"/>
    </font>
    <font>
      <b/>
      <sz val="12"/>
      <color rgb="FFE651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4B5"/>
        <bgColor rgb="FF0066CC"/>
      </patternFill>
    </fill>
    <fill>
      <patternFill patternType="solid">
        <fgColor rgb="FFD6E4F0"/>
        <bgColor rgb="FFEDE7F6"/>
      </patternFill>
    </fill>
    <fill>
      <patternFill patternType="solid">
        <fgColor rgb="FF4A148C"/>
        <bgColor rgb="FF800080"/>
      </patternFill>
    </fill>
    <fill>
      <patternFill patternType="solid">
        <fgColor rgb="FFF3E5F5"/>
        <bgColor rgb="FFEDE7F6"/>
      </patternFill>
    </fill>
    <fill>
      <patternFill patternType="solid">
        <fgColor rgb="FF1A5C2A"/>
        <bgColor rgb="FF2E7D32"/>
      </patternFill>
    </fill>
    <fill>
      <patternFill patternType="solid">
        <fgColor rgb="FFE8F5E9"/>
        <bgColor rgb="FFF1F8E9"/>
      </patternFill>
    </fill>
    <fill>
      <patternFill patternType="solid">
        <fgColor rgb="FFF57F17"/>
        <bgColor rgb="FFFF8080"/>
      </patternFill>
    </fill>
    <fill>
      <patternFill patternType="solid">
        <fgColor rgb="FFFFFDE7"/>
        <bgColor rgb="FFFFF5F5"/>
      </patternFill>
    </fill>
    <fill>
      <patternFill patternType="solid">
        <fgColor rgb="FFC00000"/>
        <bgColor rgb="FF800000"/>
      </patternFill>
    </fill>
    <fill>
      <patternFill patternType="solid">
        <fgColor rgb="FFFFEBEE"/>
        <bgColor rgb="FFFFF3E0"/>
      </patternFill>
    </fill>
    <fill>
      <patternFill patternType="solid">
        <fgColor rgb="FFE65100"/>
        <bgColor rgb="FFF57F17"/>
      </patternFill>
    </fill>
    <fill>
      <patternFill patternType="solid">
        <fgColor rgb="FFFFF3E0"/>
        <bgColor rgb="FFFFF5F5"/>
      </patternFill>
    </fill>
    <fill>
      <patternFill patternType="solid">
        <fgColor rgb="FFFFF5F5"/>
        <bgColor rgb="FFF8F9FA"/>
      </patternFill>
    </fill>
    <fill>
      <patternFill patternType="solid">
        <fgColor rgb="FFF1F8E9"/>
        <bgColor rgb="FFE8F5E9"/>
      </patternFill>
    </fill>
    <fill>
      <patternFill patternType="solid">
        <fgColor rgb="FFEDE7F6"/>
        <bgColor rgb="FFF3E5F5"/>
      </patternFill>
    </fill>
    <fill>
      <patternFill patternType="solid">
        <fgColor rgb="FF2E7D32"/>
        <bgColor rgb="FF1A5C2A"/>
      </patternFill>
    </fill>
    <fill>
      <patternFill patternType="solid">
        <fgColor rgb="FFFFFFFF"/>
        <bgColor rgb="FFF8F9FA"/>
      </patternFill>
    </fill>
    <fill>
      <patternFill patternType="solid">
        <fgColor rgb="FFF8F9FA"/>
        <bgColor rgb="FFFFF5F5"/>
      </patternFill>
    </fill>
  </fills>
  <borders count="19">
    <border>
      <left/>
      <right/>
      <top/>
      <bottom/>
      <diagonal/>
    </border>
    <border>
      <left style="thin">
        <color rgb="FF2E74B5"/>
      </left>
      <right/>
      <top style="thin">
        <color rgb="FF2E74B5"/>
      </top>
      <bottom style="thin">
        <color rgb="FF2E74B5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4A148C"/>
      </left>
      <right style="thin">
        <color rgb="FF4A148C"/>
      </right>
      <top style="thin">
        <color rgb="FF4A148C"/>
      </top>
      <bottom style="thin">
        <color rgb="FF4A148C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A5C2A"/>
      </left>
      <right style="thin">
        <color rgb="FF1A5C2A"/>
      </right>
      <top style="thin">
        <color rgb="FF1A5C2A"/>
      </top>
      <bottom style="thin">
        <color rgb="FF1A5C2A"/>
      </bottom>
      <diagonal/>
    </border>
    <border>
      <left style="thin">
        <color rgb="FF2E74B5"/>
      </left>
      <right style="thin">
        <color rgb="FF2E74B5"/>
      </right>
      <top style="thin">
        <color rgb="FF2E74B5"/>
      </top>
      <bottom style="thin">
        <color rgb="FF2E74B5"/>
      </bottom>
      <diagonal/>
    </border>
    <border>
      <left style="thin">
        <color rgb="FF4A148C"/>
      </left>
      <right/>
      <top style="thin">
        <color rgb="FF4A148C"/>
      </top>
      <bottom style="thin">
        <color rgb="FF4A148C"/>
      </bottom>
      <diagonal/>
    </border>
    <border>
      <left style="thin">
        <color rgb="FF1F4E79"/>
      </left>
      <right/>
      <top style="thin">
        <color rgb="FF1F4E79"/>
      </top>
      <bottom style="thin">
        <color rgb="FF1F4E79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1A5C2A"/>
      </left>
      <right/>
      <top/>
      <bottom style="thin">
        <color rgb="FF1A5C2A"/>
      </bottom>
      <diagonal/>
    </border>
    <border>
      <left/>
      <right/>
      <top/>
      <bottom style="thin">
        <color rgb="FF1A5C2A"/>
      </bottom>
      <diagonal/>
    </border>
    <border>
      <left style="thin">
        <color rgb="FF1F4E79"/>
      </left>
      <right/>
      <top/>
      <bottom style="thin">
        <color rgb="FF1F4E79"/>
      </bottom>
      <diagonal/>
    </border>
    <border>
      <left/>
      <right/>
      <top/>
      <bottom style="thin">
        <color rgb="FF1F4E79"/>
      </bottom>
      <diagonal/>
    </border>
    <border>
      <left style="thin">
        <color rgb="FF2E74B5"/>
      </left>
      <right/>
      <top/>
      <bottom style="thin">
        <color rgb="FF1F4E79"/>
      </bottom>
      <diagonal/>
    </border>
    <border>
      <left style="thin">
        <color rgb="FF4A148C"/>
      </left>
      <right/>
      <top/>
      <bottom style="thin">
        <color rgb="FF4A148C"/>
      </bottom>
      <diagonal/>
    </border>
    <border>
      <left/>
      <right/>
      <top/>
      <bottom style="thin">
        <color rgb="FF4A148C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5" fillId="12" borderId="2" xfId="0" applyFont="1" applyFill="1" applyBorder="1" applyAlignment="1">
      <alignment horizontal="left" vertical="center" wrapText="1"/>
    </xf>
    <xf numFmtId="0" fontId="4" fillId="11" borderId="0" xfId="0" applyFont="1" applyFill="1" applyAlignment="1">
      <alignment horizontal="left" vertical="center"/>
    </xf>
    <xf numFmtId="0" fontId="5" fillId="10" borderId="2" xfId="0" applyFont="1" applyFill="1" applyBorder="1" applyAlignment="1">
      <alignment horizontal="left" vertical="center" wrapText="1"/>
    </xf>
    <xf numFmtId="0" fontId="4" fillId="9" borderId="0" xfId="0" applyFont="1" applyFill="1" applyAlignment="1">
      <alignment horizontal="left" vertical="center"/>
    </xf>
    <xf numFmtId="0" fontId="5" fillId="8" borderId="2" xfId="0" applyFont="1" applyFill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4" fillId="5" borderId="0" xfId="0" applyFont="1" applyFill="1" applyAlignment="1">
      <alignment horizontal="left" vertical="center"/>
    </xf>
    <xf numFmtId="0" fontId="5" fillId="4" borderId="2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left" vertical="center"/>
    </xf>
    <xf numFmtId="0" fontId="12" fillId="14" borderId="3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4" fillId="5" borderId="4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/>
    </xf>
    <xf numFmtId="0" fontId="15" fillId="17" borderId="3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9" fillId="8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9" fillId="14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9" fillId="12" borderId="3" xfId="0" applyFont="1" applyFill="1" applyBorder="1" applyAlignment="1">
      <alignment horizontal="center" vertical="center" wrapText="1"/>
    </xf>
    <xf numFmtId="0" fontId="14" fillId="18" borderId="6" xfId="0" applyFont="1" applyFill="1" applyBorder="1" applyAlignment="1">
      <alignment horizontal="center" vertical="center" wrapText="1"/>
    </xf>
    <xf numFmtId="0" fontId="21" fillId="8" borderId="3" xfId="0" applyFont="1" applyFill="1" applyBorder="1" applyAlignment="1">
      <alignment horizontal="center" vertical="center" wrapText="1"/>
    </xf>
    <xf numFmtId="0" fontId="13" fillId="16" borderId="3" xfId="0" applyFont="1" applyFill="1" applyBorder="1" applyAlignment="1">
      <alignment horizontal="center" vertical="center" wrapText="1"/>
    </xf>
    <xf numFmtId="0" fontId="21" fillId="16" borderId="3" xfId="0" applyFont="1" applyFill="1" applyBorder="1" applyAlignment="1">
      <alignment horizontal="center" vertical="center" wrapText="1"/>
    </xf>
    <xf numFmtId="0" fontId="19" fillId="16" borderId="3" xfId="0" applyFont="1" applyFill="1" applyBorder="1" applyAlignment="1">
      <alignment horizontal="center" vertical="center" wrapText="1"/>
    </xf>
    <xf numFmtId="0" fontId="22" fillId="16" borderId="3" xfId="0" applyFont="1" applyFill="1" applyBorder="1" applyAlignment="1">
      <alignment horizontal="center" vertical="center" wrapText="1"/>
    </xf>
    <xf numFmtId="0" fontId="15" fillId="6" borderId="3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9" fillId="17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right" vertical="center"/>
    </xf>
    <xf numFmtId="0" fontId="14" fillId="3" borderId="5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left" vertical="center"/>
    </xf>
    <xf numFmtId="0" fontId="13" fillId="8" borderId="3" xfId="0" applyFont="1" applyFill="1" applyBorder="1" applyAlignment="1">
      <alignment horizontal="center" vertical="center"/>
    </xf>
    <xf numFmtId="164" fontId="0" fillId="8" borderId="3" xfId="0" applyNumberForma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13" fillId="16" borderId="3" xfId="0" applyFont="1" applyFill="1" applyBorder="1" applyAlignment="1">
      <alignment horizontal="center" vertical="center"/>
    </xf>
    <xf numFmtId="164" fontId="0" fillId="16" borderId="3" xfId="0" applyNumberForma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 wrapText="1"/>
    </xf>
    <xf numFmtId="0" fontId="24" fillId="19" borderId="3" xfId="0" applyFont="1" applyFill="1" applyBorder="1" applyAlignment="1">
      <alignment horizontal="center" vertical="center"/>
    </xf>
    <xf numFmtId="164" fontId="24" fillId="19" borderId="3" xfId="0" applyNumberFormat="1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 vertical="center"/>
    </xf>
    <xf numFmtId="164" fontId="24" fillId="20" borderId="3" xfId="0" applyNumberFormat="1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164" fontId="14" fillId="2" borderId="5" xfId="0" applyNumberFormat="1" applyFont="1" applyFill="1" applyBorder="1" applyAlignment="1">
      <alignment horizontal="center" vertical="center"/>
    </xf>
    <xf numFmtId="0" fontId="30" fillId="8" borderId="6" xfId="0" applyFont="1" applyFill="1" applyBorder="1" applyAlignment="1">
      <alignment horizontal="center" vertical="center"/>
    </xf>
    <xf numFmtId="0" fontId="31" fillId="12" borderId="10" xfId="0" applyFont="1" applyFill="1" applyBorder="1" applyAlignment="1">
      <alignment horizontal="center" vertical="center"/>
    </xf>
    <xf numFmtId="0" fontId="32" fillId="4" borderId="7" xfId="0" applyFont="1" applyFill="1" applyBorder="1" applyAlignment="1">
      <alignment horizontal="center" vertical="center"/>
    </xf>
    <xf numFmtId="0" fontId="14" fillId="18" borderId="6" xfId="0" applyFont="1" applyFill="1" applyBorder="1" applyAlignment="1">
      <alignment horizontal="center" vertical="center"/>
    </xf>
    <xf numFmtId="164" fontId="19" fillId="8" borderId="3" xfId="0" applyNumberFormat="1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164" fontId="19" fillId="16" borderId="3" xfId="0" applyNumberFormat="1" applyFont="1" applyFill="1" applyBorder="1" applyAlignment="1">
      <alignment horizontal="center" vertical="center"/>
    </xf>
    <xf numFmtId="0" fontId="19" fillId="16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5" fillId="14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14" fillId="5" borderId="4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17" borderId="2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4" fillId="19" borderId="3" xfId="0" applyFont="1" applyFill="1" applyBorder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left" vertical="center"/>
    </xf>
    <xf numFmtId="0" fontId="14" fillId="3" borderId="5" xfId="0" applyFont="1" applyFill="1" applyBorder="1" applyAlignment="1">
      <alignment horizontal="center" vertical="center" wrapText="1"/>
    </xf>
    <xf numFmtId="0" fontId="13" fillId="8" borderId="2" xfId="0" applyFont="1" applyFill="1" applyBorder="1" applyAlignment="1">
      <alignment horizontal="center" vertical="center"/>
    </xf>
    <xf numFmtId="3" fontId="25" fillId="8" borderId="2" xfId="0" applyNumberFormat="1" applyFont="1" applyFill="1" applyBorder="1" applyAlignment="1">
      <alignment horizontal="center" vertical="center"/>
    </xf>
    <xf numFmtId="165" fontId="25" fillId="8" borderId="2" xfId="0" applyNumberFormat="1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3" fontId="26" fillId="4" borderId="2" xfId="0" applyNumberFormat="1" applyFont="1" applyFill="1" applyBorder="1" applyAlignment="1">
      <alignment horizontal="center" vertical="center"/>
    </xf>
    <xf numFmtId="165" fontId="26" fillId="4" borderId="2" xfId="0" applyNumberFormat="1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3" fontId="28" fillId="10" borderId="2" xfId="0" applyNumberFormat="1" applyFont="1" applyFill="1" applyBorder="1" applyAlignment="1">
      <alignment horizontal="center" vertical="center"/>
    </xf>
    <xf numFmtId="165" fontId="28" fillId="10" borderId="2" xfId="0" applyNumberFormat="1" applyFont="1" applyFill="1" applyBorder="1" applyAlignment="1">
      <alignment horizontal="center" vertical="center"/>
    </xf>
    <xf numFmtId="0" fontId="29" fillId="3" borderId="0" xfId="0" applyFont="1" applyFill="1" applyAlignment="1">
      <alignment horizontal="center" vertical="center"/>
    </xf>
    <xf numFmtId="0" fontId="19" fillId="12" borderId="2" xfId="0" applyFont="1" applyFill="1" applyBorder="1" applyAlignment="1">
      <alignment horizontal="left" vertical="center"/>
    </xf>
    <xf numFmtId="0" fontId="19" fillId="15" borderId="2" xfId="0" applyFont="1" applyFill="1" applyBorder="1" applyAlignment="1">
      <alignment horizontal="left" vertical="center"/>
    </xf>
    <xf numFmtId="0" fontId="22" fillId="12" borderId="2" xfId="0" applyFont="1" applyFill="1" applyBorder="1" applyAlignment="1">
      <alignment horizontal="left" vertical="center"/>
    </xf>
    <xf numFmtId="0" fontId="22" fillId="15" borderId="2" xfId="0" applyFont="1" applyFill="1" applyBorder="1" applyAlignment="1">
      <alignment horizontal="left" vertical="center"/>
    </xf>
    <xf numFmtId="0" fontId="35" fillId="7" borderId="12" xfId="0" applyFont="1" applyFill="1" applyBorder="1" applyAlignment="1">
      <alignment horizontal="center" vertical="center" wrapText="1"/>
    </xf>
    <xf numFmtId="0" fontId="35" fillId="7" borderId="13" xfId="0" applyFont="1" applyFill="1" applyBorder="1" applyAlignment="1">
      <alignment horizontal="center" vertical="center" wrapText="1"/>
    </xf>
    <xf numFmtId="0" fontId="34" fillId="2" borderId="14" xfId="0" applyFont="1" applyFill="1" applyBorder="1" applyAlignment="1">
      <alignment horizontal="center" vertical="center"/>
    </xf>
    <xf numFmtId="0" fontId="34" fillId="2" borderId="15" xfId="0" applyFont="1" applyFill="1" applyBorder="1" applyAlignment="1">
      <alignment horizontal="center" vertical="center"/>
    </xf>
    <xf numFmtId="0" fontId="36" fillId="2" borderId="14" xfId="0" applyFont="1" applyFill="1" applyBorder="1" applyAlignment="1">
      <alignment horizontal="center" vertical="center" wrapText="1"/>
    </xf>
    <xf numFmtId="0" fontId="36" fillId="2" borderId="15" xfId="0" applyFont="1" applyFill="1" applyBorder="1" applyAlignment="1">
      <alignment horizontal="center" vertical="center" wrapText="1"/>
    </xf>
    <xf numFmtId="0" fontId="34" fillId="3" borderId="16" xfId="0" applyFont="1" applyFill="1" applyBorder="1" applyAlignment="1">
      <alignment horizontal="center" vertical="center" wrapText="1"/>
    </xf>
    <xf numFmtId="0" fontId="34" fillId="3" borderId="15" xfId="0" applyFont="1" applyFill="1" applyBorder="1" applyAlignment="1">
      <alignment horizontal="center" vertical="center" wrapText="1"/>
    </xf>
    <xf numFmtId="0" fontId="34" fillId="2" borderId="14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/>
    </xf>
    <xf numFmtId="164" fontId="37" fillId="8" borderId="6" xfId="0" applyNumberFormat="1" applyFont="1" applyFill="1" applyBorder="1" applyAlignment="1">
      <alignment horizontal="center" vertical="center"/>
    </xf>
    <xf numFmtId="164" fontId="38" fillId="12" borderId="10" xfId="0" applyNumberFormat="1" applyFont="1" applyFill="1" applyBorder="1" applyAlignment="1">
      <alignment horizontal="center" vertical="center"/>
    </xf>
    <xf numFmtId="164" fontId="39" fillId="4" borderId="7" xfId="0" applyNumberFormat="1" applyFont="1" applyFill="1" applyBorder="1" applyAlignment="1">
      <alignment horizontal="center" vertical="center"/>
    </xf>
    <xf numFmtId="0" fontId="34" fillId="7" borderId="12" xfId="0" applyFont="1" applyFill="1" applyBorder="1" applyAlignment="1">
      <alignment horizontal="center" vertical="center" wrapText="1"/>
    </xf>
    <xf numFmtId="0" fontId="34" fillId="7" borderId="13" xfId="0" applyFont="1" applyFill="1" applyBorder="1" applyAlignment="1">
      <alignment horizontal="center" vertical="center" wrapText="1"/>
    </xf>
    <xf numFmtId="0" fontId="34" fillId="5" borderId="17" xfId="0" applyFont="1" applyFill="1" applyBorder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3" borderId="7" xfId="0" applyFont="1" applyFill="1" applyBorder="1" applyAlignment="1">
      <alignment horizontal="center" vertical="center" wrapText="1"/>
    </xf>
    <xf numFmtId="0" fontId="34" fillId="7" borderId="6" xfId="0" applyFont="1" applyFill="1" applyBorder="1" applyAlignment="1">
      <alignment horizontal="center" vertical="center" wrapText="1"/>
    </xf>
    <xf numFmtId="0" fontId="34" fillId="5" borderId="4" xfId="0" applyFont="1" applyFill="1" applyBorder="1" applyAlignment="1">
      <alignment horizontal="center" vertical="center" wrapText="1"/>
    </xf>
    <xf numFmtId="0" fontId="34" fillId="2" borderId="5" xfId="0" applyFont="1" applyFill="1" applyBorder="1" applyAlignment="1">
      <alignment horizontal="center" vertical="center" wrapText="1"/>
    </xf>
    <xf numFmtId="0" fontId="34" fillId="11" borderId="10" xfId="0" applyFont="1" applyFill="1" applyBorder="1" applyAlignment="1">
      <alignment horizontal="center" vertical="center" wrapText="1"/>
    </xf>
    <xf numFmtId="0" fontId="40" fillId="14" borderId="11" xfId="0" applyFont="1" applyFill="1" applyBorder="1" applyAlignment="1">
      <alignment horizontal="center" vertical="center"/>
    </xf>
    <xf numFmtId="1" fontId="41" fillId="14" borderId="11" xfId="0" applyNumberFormat="1" applyFont="1" applyFill="1" applyBorder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33" fillId="5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font>
        <b/>
        <sz val="10"/>
        <color rgb="FFC00000"/>
        <name val="Arial"/>
        <charset val="1"/>
      </font>
      <fill>
        <patternFill>
          <bgColor rgb="FFFFEBEE"/>
        </patternFill>
      </fill>
    </dxf>
    <dxf>
      <font>
        <b/>
        <sz val="10"/>
        <color rgb="FF1A5C2A"/>
        <name val="Arial"/>
        <charset val="1"/>
      </font>
      <fill>
        <patternFill>
          <bgColor rgb="FFE8F5E9"/>
        </patternFill>
      </fill>
    </dxf>
    <dxf>
      <fill>
        <patternFill>
          <bgColor rgb="FFFFF3E0"/>
        </patternFill>
      </fill>
    </dxf>
    <dxf>
      <fill>
        <patternFill>
          <bgColor rgb="FFFFEBEE"/>
        </patternFill>
      </fill>
    </dxf>
    <dxf>
      <fill>
        <patternFill>
          <bgColor rgb="FFE8F5E9"/>
        </patternFill>
      </fill>
    </dxf>
    <dxf>
      <fill>
        <patternFill>
          <bgColor rgb="FFD6E4F0"/>
        </patternFill>
      </fill>
    </dxf>
    <dxf>
      <fill>
        <patternFill>
          <bgColor rgb="FFFFF3E0"/>
        </patternFill>
      </fill>
    </dxf>
    <dxf>
      <fill>
        <patternFill>
          <bgColor rgb="FFFFEBEE"/>
        </patternFill>
      </fill>
    </dxf>
    <dxf>
      <font>
        <b/>
        <sz val="11"/>
        <color rgb="FFC00000"/>
        <name val="Arial"/>
        <charset val="1"/>
      </font>
      <fill>
        <patternFill>
          <bgColor rgb="FFFFEBEE"/>
        </patternFill>
      </fill>
    </dxf>
    <dxf>
      <font>
        <b/>
        <sz val="11"/>
        <color rgb="FFE65100"/>
        <name val="Arial"/>
        <charset val="1"/>
      </font>
      <fill>
        <patternFill>
          <bgColor rgb="FFFFF3E0"/>
        </patternFill>
      </fill>
    </dxf>
    <dxf>
      <font>
        <b/>
        <sz val="11"/>
        <color rgb="FF1F4E79"/>
        <name val="Arial"/>
        <charset val="1"/>
      </font>
      <fill>
        <patternFill>
          <bgColor rgb="FFD6E4F0"/>
        </patternFill>
      </fill>
    </dxf>
    <dxf>
      <font>
        <b/>
        <sz val="11"/>
        <color rgb="FF1A5C2A"/>
        <name val="Arial"/>
        <charset val="1"/>
      </font>
      <fill>
        <patternFill>
          <bgColor rgb="FFE8F5E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A5C2A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DE7"/>
      <rgbColor rgb="FFE8F5E9"/>
      <rgbColor rgb="FF4A148C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8E9"/>
      <rgbColor rgb="FFF8F9FA"/>
      <rgbColor rgb="FFFFF3E0"/>
      <rgbColor rgb="FFEDE7F6"/>
      <rgbColor rgb="FFFFEBEE"/>
      <rgbColor rgb="FFFFF5F5"/>
      <rgbColor rgb="FFF3E5F5"/>
      <rgbColor rgb="FF2E74B5"/>
      <rgbColor rgb="FF33CCCC"/>
      <rgbColor rgb="FF99CC00"/>
      <rgbColor rgb="FFFFCC00"/>
      <rgbColor rgb="FFF57F17"/>
      <rgbColor rgb="FFE65100"/>
      <rgbColor rgb="FF666699"/>
      <rgbColor rgb="FF969696"/>
      <rgbColor rgb="FF003366"/>
      <rgbColor rgb="FF2E7D32"/>
      <rgbColor rgb="FF003300"/>
      <rgbColor rgb="FF424242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0"/>
  <sheetViews>
    <sheetView showGridLines="0" tabSelected="1" topLeftCell="A33" zoomScaleNormal="100" workbookViewId="0">
      <selection activeCell="A46" sqref="A46:G46"/>
    </sheetView>
  </sheetViews>
  <sheetFormatPr baseColWidth="10" defaultColWidth="8.68359375" defaultRowHeight="14.4" x14ac:dyDescent="0.55000000000000004"/>
  <cols>
    <col min="1" max="1" width="3" customWidth="1"/>
    <col min="2" max="2" width="28" customWidth="1"/>
    <col min="3" max="3" width="38" customWidth="1"/>
    <col min="4" max="4" width="22" customWidth="1"/>
    <col min="5" max="6" width="16" customWidth="1"/>
    <col min="7" max="7" width="12" customWidth="1"/>
  </cols>
  <sheetData>
    <row r="1" spans="1:7" ht="43.5" customHeight="1" x14ac:dyDescent="0.55000000000000004">
      <c r="A1" s="13" t="s">
        <v>0</v>
      </c>
      <c r="B1" s="13"/>
      <c r="C1" s="13"/>
      <c r="D1" s="13"/>
      <c r="E1" s="13"/>
      <c r="F1" s="13"/>
      <c r="G1" s="13"/>
    </row>
    <row r="2" spans="1:7" ht="21.75" customHeight="1" x14ac:dyDescent="0.55000000000000004">
      <c r="A2" s="12" t="s">
        <v>1</v>
      </c>
      <c r="B2" s="12"/>
      <c r="C2" s="12"/>
      <c r="D2" s="12"/>
      <c r="E2" s="12"/>
      <c r="F2" s="12"/>
      <c r="G2" s="12"/>
    </row>
    <row r="3" spans="1:7" ht="9.75" customHeight="1" x14ac:dyDescent="0.55000000000000004"/>
    <row r="4" spans="1:7" ht="19.5" customHeight="1" x14ac:dyDescent="0.55000000000000004">
      <c r="B4" s="11" t="s">
        <v>2</v>
      </c>
      <c r="C4" s="11"/>
      <c r="D4" s="11"/>
      <c r="E4" s="11"/>
      <c r="F4" s="11"/>
      <c r="G4" s="11"/>
    </row>
    <row r="5" spans="1:7" ht="9.75" customHeight="1" x14ac:dyDescent="0.55000000000000004"/>
    <row r="6" spans="1:7" ht="25.5" customHeight="1" x14ac:dyDescent="0.55000000000000004">
      <c r="A6" s="126" t="s">
        <v>3</v>
      </c>
      <c r="B6" s="126"/>
      <c r="C6" s="126"/>
      <c r="D6" s="126"/>
      <c r="E6" s="126"/>
      <c r="F6" s="126"/>
      <c r="G6" s="126"/>
    </row>
    <row r="7" spans="1:7" ht="21.75" customHeight="1" x14ac:dyDescent="0.55000000000000004">
      <c r="B7" s="10" t="s">
        <v>4</v>
      </c>
      <c r="C7" s="10"/>
      <c r="D7" s="10"/>
      <c r="E7" s="10"/>
      <c r="F7" s="10"/>
      <c r="G7" s="10"/>
    </row>
    <row r="8" spans="1:7" ht="33.75" customHeight="1" x14ac:dyDescent="0.55000000000000004">
      <c r="B8" s="9" t="s">
        <v>5</v>
      </c>
      <c r="C8" s="9"/>
      <c r="D8" s="9"/>
      <c r="E8" s="9"/>
      <c r="F8" s="9"/>
      <c r="G8" s="14" t="s">
        <v>6</v>
      </c>
    </row>
    <row r="9" spans="1:7" ht="18" customHeight="1" x14ac:dyDescent="0.55000000000000004"/>
    <row r="10" spans="1:7" ht="21.75" customHeight="1" x14ac:dyDescent="0.55000000000000004">
      <c r="B10" s="8" t="s">
        <v>7</v>
      </c>
      <c r="C10" s="8"/>
      <c r="D10" s="8"/>
      <c r="E10" s="8"/>
      <c r="F10" s="8"/>
      <c r="G10" s="8"/>
    </row>
    <row r="11" spans="1:7" ht="33.75" customHeight="1" x14ac:dyDescent="0.55000000000000004">
      <c r="B11" s="7" t="s">
        <v>8</v>
      </c>
      <c r="C11" s="7"/>
      <c r="D11" s="7"/>
      <c r="E11" s="7"/>
      <c r="F11" s="7"/>
      <c r="G11" s="15" t="s">
        <v>9</v>
      </c>
    </row>
    <row r="12" spans="1:7" ht="18" customHeight="1" x14ac:dyDescent="0.55000000000000004"/>
    <row r="13" spans="1:7" ht="21.75" customHeight="1" x14ac:dyDescent="0.55000000000000004">
      <c r="B13" s="6" t="s">
        <v>10</v>
      </c>
      <c r="C13" s="6"/>
      <c r="D13" s="6"/>
      <c r="E13" s="6"/>
      <c r="F13" s="6"/>
      <c r="G13" s="6"/>
    </row>
    <row r="14" spans="1:7" ht="33.75" customHeight="1" x14ac:dyDescent="0.55000000000000004">
      <c r="B14" s="5" t="s">
        <v>11</v>
      </c>
      <c r="C14" s="5"/>
      <c r="D14" s="5"/>
      <c r="E14" s="5"/>
      <c r="F14" s="5"/>
      <c r="G14" s="16" t="s">
        <v>12</v>
      </c>
    </row>
    <row r="15" spans="1:7" ht="18" customHeight="1" x14ac:dyDescent="0.55000000000000004"/>
    <row r="16" spans="1:7" ht="21.75" customHeight="1" x14ac:dyDescent="0.55000000000000004">
      <c r="B16" s="4" t="s">
        <v>13</v>
      </c>
      <c r="C16" s="4"/>
      <c r="D16" s="4"/>
      <c r="E16" s="4"/>
      <c r="F16" s="4"/>
      <c r="G16" s="4"/>
    </row>
    <row r="17" spans="1:7" ht="33.75" customHeight="1" x14ac:dyDescent="0.55000000000000004">
      <c r="B17" s="3" t="s">
        <v>14</v>
      </c>
      <c r="C17" s="3"/>
      <c r="D17" s="3"/>
      <c r="E17" s="3"/>
      <c r="F17" s="3"/>
      <c r="G17" s="17" t="s">
        <v>15</v>
      </c>
    </row>
    <row r="18" spans="1:7" ht="18" customHeight="1" x14ac:dyDescent="0.55000000000000004"/>
    <row r="19" spans="1:7" ht="21.75" customHeight="1" x14ac:dyDescent="0.55000000000000004">
      <c r="B19" s="2" t="s">
        <v>16</v>
      </c>
      <c r="C19" s="2"/>
      <c r="D19" s="2"/>
      <c r="E19" s="2"/>
      <c r="F19" s="2"/>
      <c r="G19" s="2"/>
    </row>
    <row r="20" spans="1:7" ht="33.75" customHeight="1" x14ac:dyDescent="0.55000000000000004">
      <c r="B20" s="1" t="s">
        <v>17</v>
      </c>
      <c r="C20" s="1"/>
      <c r="D20" s="1"/>
      <c r="E20" s="1"/>
      <c r="F20" s="1"/>
      <c r="G20" s="18" t="s">
        <v>18</v>
      </c>
    </row>
    <row r="21" spans="1:7" ht="18" customHeight="1" x14ac:dyDescent="0.55000000000000004"/>
    <row r="22" spans="1:7" ht="12" customHeight="1" x14ac:dyDescent="0.55000000000000004"/>
    <row r="23" spans="1:7" ht="25.5" customHeight="1" x14ac:dyDescent="0.55000000000000004">
      <c r="A23" s="125" t="s">
        <v>19</v>
      </c>
      <c r="B23" s="125"/>
      <c r="C23" s="125"/>
      <c r="D23" s="125"/>
      <c r="E23" s="125"/>
      <c r="F23" s="125"/>
      <c r="G23" s="125"/>
    </row>
    <row r="24" spans="1:7" ht="19.5" customHeight="1" x14ac:dyDescent="0.55000000000000004">
      <c r="B24" s="6" t="s">
        <v>20</v>
      </c>
      <c r="C24" s="6"/>
      <c r="D24" s="6"/>
      <c r="E24" s="6"/>
      <c r="F24" s="6"/>
      <c r="G24" s="6"/>
    </row>
    <row r="25" spans="1:7" ht="30" customHeight="1" x14ac:dyDescent="0.55000000000000004">
      <c r="B25" s="5" t="s">
        <v>21</v>
      </c>
      <c r="C25" s="5"/>
      <c r="D25" s="5"/>
      <c r="E25" s="5"/>
      <c r="F25" s="5"/>
      <c r="G25" s="5"/>
    </row>
    <row r="26" spans="1:7" ht="19.5" customHeight="1" x14ac:dyDescent="0.55000000000000004">
      <c r="B26" s="68" t="s">
        <v>22</v>
      </c>
      <c r="C26" s="68"/>
      <c r="D26" s="68"/>
      <c r="E26" s="68"/>
      <c r="F26" s="68"/>
      <c r="G26" s="68"/>
    </row>
    <row r="27" spans="1:7" ht="30" customHeight="1" x14ac:dyDescent="0.55000000000000004">
      <c r="B27" s="9" t="s">
        <v>23</v>
      </c>
      <c r="C27" s="9"/>
      <c r="D27" s="9"/>
      <c r="E27" s="9"/>
      <c r="F27" s="9"/>
      <c r="G27" s="9"/>
    </row>
    <row r="28" spans="1:7" ht="19.5" customHeight="1" x14ac:dyDescent="0.55000000000000004">
      <c r="B28" s="69" t="s">
        <v>24</v>
      </c>
      <c r="C28" s="69"/>
      <c r="D28" s="69"/>
      <c r="E28" s="69"/>
      <c r="F28" s="69"/>
      <c r="G28" s="69"/>
    </row>
    <row r="29" spans="1:7" ht="30" customHeight="1" x14ac:dyDescent="0.55000000000000004">
      <c r="B29" s="70" t="s">
        <v>25</v>
      </c>
      <c r="C29" s="70"/>
      <c r="D29" s="70"/>
      <c r="E29" s="70"/>
      <c r="F29" s="70"/>
      <c r="G29" s="70"/>
    </row>
    <row r="30" spans="1:7" ht="19.5" customHeight="1" x14ac:dyDescent="0.55000000000000004">
      <c r="B30" s="8" t="s">
        <v>26</v>
      </c>
      <c r="C30" s="8"/>
      <c r="D30" s="8"/>
      <c r="E30" s="8"/>
      <c r="F30" s="8"/>
      <c r="G30" s="8"/>
    </row>
    <row r="31" spans="1:7" ht="30" customHeight="1" x14ac:dyDescent="0.55000000000000004">
      <c r="B31" s="7" t="s">
        <v>27</v>
      </c>
      <c r="C31" s="7"/>
      <c r="D31" s="7"/>
      <c r="E31" s="7"/>
      <c r="F31" s="7"/>
      <c r="G31" s="7"/>
    </row>
    <row r="32" spans="1:7" ht="19.5" customHeight="1" x14ac:dyDescent="0.55000000000000004">
      <c r="B32" s="2" t="s">
        <v>28</v>
      </c>
      <c r="C32" s="2"/>
      <c r="D32" s="2"/>
      <c r="E32" s="2"/>
      <c r="F32" s="2"/>
      <c r="G32" s="2"/>
    </row>
    <row r="33" spans="1:7" ht="30" customHeight="1" x14ac:dyDescent="0.55000000000000004">
      <c r="B33" s="1" t="s">
        <v>29</v>
      </c>
      <c r="C33" s="1"/>
      <c r="D33" s="1"/>
      <c r="E33" s="1"/>
      <c r="F33" s="1"/>
      <c r="G33" s="1"/>
    </row>
    <row r="34" spans="1:7" ht="19.5" customHeight="1" x14ac:dyDescent="0.55000000000000004">
      <c r="B34" s="4" t="s">
        <v>30</v>
      </c>
      <c r="C34" s="4"/>
      <c r="D34" s="4"/>
      <c r="E34" s="4"/>
      <c r="F34" s="4"/>
      <c r="G34" s="4"/>
    </row>
    <row r="35" spans="1:7" ht="30" customHeight="1" x14ac:dyDescent="0.55000000000000004">
      <c r="B35" s="3" t="s">
        <v>31</v>
      </c>
      <c r="C35" s="3"/>
      <c r="D35" s="3"/>
      <c r="E35" s="3"/>
      <c r="F35" s="3"/>
      <c r="G35" s="3"/>
    </row>
    <row r="36" spans="1:7" ht="12" customHeight="1" x14ac:dyDescent="0.55000000000000004"/>
    <row r="37" spans="1:7" ht="25.5" customHeight="1" x14ac:dyDescent="0.55000000000000004">
      <c r="A37" s="127" t="s">
        <v>32</v>
      </c>
      <c r="B37" s="127"/>
      <c r="C37" s="127"/>
      <c r="D37" s="127"/>
      <c r="E37" s="127"/>
      <c r="F37" s="127"/>
      <c r="G37" s="127"/>
    </row>
    <row r="38" spans="1:7" ht="30" customHeight="1" x14ac:dyDescent="0.55000000000000004">
      <c r="B38" s="19" t="s">
        <v>33</v>
      </c>
      <c r="C38" s="71" t="s">
        <v>34</v>
      </c>
      <c r="D38" s="71"/>
      <c r="E38" s="71"/>
      <c r="F38" s="71"/>
      <c r="G38" s="71"/>
    </row>
    <row r="39" spans="1:7" ht="30" customHeight="1" x14ac:dyDescent="0.55000000000000004">
      <c r="B39" s="19" t="s">
        <v>35</v>
      </c>
      <c r="C39" s="1" t="s">
        <v>36</v>
      </c>
      <c r="D39" s="1"/>
      <c r="E39" s="1"/>
      <c r="F39" s="1"/>
      <c r="G39" s="1"/>
    </row>
    <row r="40" spans="1:7" ht="30" customHeight="1" x14ac:dyDescent="0.55000000000000004">
      <c r="B40" s="19" t="s">
        <v>37</v>
      </c>
      <c r="C40" s="71" t="s">
        <v>38</v>
      </c>
      <c r="D40" s="71"/>
      <c r="E40" s="71"/>
      <c r="F40" s="71"/>
      <c r="G40" s="71"/>
    </row>
    <row r="41" spans="1:7" ht="30" customHeight="1" x14ac:dyDescent="0.55000000000000004">
      <c r="B41" s="20" t="s">
        <v>39</v>
      </c>
      <c r="C41" s="70" t="s">
        <v>40</v>
      </c>
      <c r="D41" s="70"/>
      <c r="E41" s="70"/>
      <c r="F41" s="70"/>
      <c r="G41" s="70"/>
    </row>
    <row r="42" spans="1:7" ht="30" customHeight="1" x14ac:dyDescent="0.55000000000000004">
      <c r="B42" s="20" t="s">
        <v>41</v>
      </c>
      <c r="C42" s="70" t="s">
        <v>42</v>
      </c>
      <c r="D42" s="70"/>
      <c r="E42" s="70"/>
      <c r="F42" s="70"/>
      <c r="G42" s="70"/>
    </row>
    <row r="43" spans="1:7" ht="30" customHeight="1" x14ac:dyDescent="0.55000000000000004">
      <c r="B43" s="21" t="s">
        <v>43</v>
      </c>
      <c r="C43" s="5" t="s">
        <v>44</v>
      </c>
      <c r="D43" s="5"/>
      <c r="E43" s="5"/>
      <c r="F43" s="5"/>
      <c r="G43" s="5"/>
    </row>
    <row r="44" spans="1:7" ht="30" customHeight="1" x14ac:dyDescent="0.55000000000000004">
      <c r="B44" s="21" t="s">
        <v>45</v>
      </c>
      <c r="C44" s="72" t="s">
        <v>46</v>
      </c>
      <c r="D44" s="72"/>
      <c r="E44" s="72"/>
      <c r="F44" s="72"/>
      <c r="G44" s="72"/>
    </row>
    <row r="45" spans="1:7" ht="12" customHeight="1" x14ac:dyDescent="0.55000000000000004"/>
    <row r="46" spans="1:7" ht="25.5" customHeight="1" x14ac:dyDescent="0.55000000000000004">
      <c r="A46" s="128" t="s">
        <v>47</v>
      </c>
      <c r="B46" s="128"/>
      <c r="C46" s="128"/>
      <c r="D46" s="128"/>
      <c r="E46" s="128"/>
      <c r="F46" s="128"/>
      <c r="G46" s="128"/>
    </row>
    <row r="47" spans="1:7" ht="21.75" customHeight="1" x14ac:dyDescent="0.55000000000000004">
      <c r="B47" s="22" t="s">
        <v>48</v>
      </c>
      <c r="C47" s="73" t="s">
        <v>49</v>
      </c>
      <c r="D47" s="73"/>
      <c r="E47" s="73"/>
      <c r="F47" s="73"/>
      <c r="G47" s="73"/>
    </row>
    <row r="48" spans="1:7" ht="19.5" customHeight="1" x14ac:dyDescent="0.55000000000000004">
      <c r="B48" s="23" t="s">
        <v>50</v>
      </c>
      <c r="C48" s="74" t="s">
        <v>51</v>
      </c>
      <c r="D48" s="74"/>
      <c r="E48" s="74"/>
      <c r="F48" s="74"/>
      <c r="G48" s="74"/>
    </row>
    <row r="49" spans="1:7" ht="19.5" customHeight="1" x14ac:dyDescent="0.55000000000000004">
      <c r="B49" s="24" t="s">
        <v>52</v>
      </c>
      <c r="C49" s="75" t="s">
        <v>53</v>
      </c>
      <c r="D49" s="75"/>
      <c r="E49" s="75"/>
      <c r="F49" s="75"/>
      <c r="G49" s="75"/>
    </row>
    <row r="50" spans="1:7" ht="19.5" customHeight="1" x14ac:dyDescent="0.55000000000000004">
      <c r="B50" s="23" t="s">
        <v>54</v>
      </c>
      <c r="C50" s="74" t="s">
        <v>55</v>
      </c>
      <c r="D50" s="74"/>
      <c r="E50" s="74"/>
      <c r="F50" s="74"/>
      <c r="G50" s="74"/>
    </row>
    <row r="51" spans="1:7" ht="19.5" customHeight="1" x14ac:dyDescent="0.55000000000000004">
      <c r="B51" s="24" t="s">
        <v>56</v>
      </c>
      <c r="C51" s="75" t="s">
        <v>57</v>
      </c>
      <c r="D51" s="75"/>
      <c r="E51" s="75"/>
      <c r="F51" s="75"/>
      <c r="G51" s="75"/>
    </row>
    <row r="52" spans="1:7" ht="19.5" customHeight="1" x14ac:dyDescent="0.55000000000000004">
      <c r="B52" s="23" t="s">
        <v>58</v>
      </c>
      <c r="C52" s="74" t="s">
        <v>59</v>
      </c>
      <c r="D52" s="74"/>
      <c r="E52" s="74"/>
      <c r="F52" s="74"/>
      <c r="G52" s="74"/>
    </row>
    <row r="53" spans="1:7" ht="19.5" customHeight="1" x14ac:dyDescent="0.55000000000000004">
      <c r="B53" s="24" t="s">
        <v>60</v>
      </c>
      <c r="C53" s="75" t="s">
        <v>61</v>
      </c>
      <c r="D53" s="75"/>
      <c r="E53" s="75"/>
      <c r="F53" s="75"/>
      <c r="G53" s="75"/>
    </row>
    <row r="54" spans="1:7" ht="19.5" customHeight="1" x14ac:dyDescent="0.55000000000000004">
      <c r="B54" s="23" t="s">
        <v>62</v>
      </c>
      <c r="C54" s="74" t="s">
        <v>63</v>
      </c>
      <c r="D54" s="74"/>
      <c r="E54" s="74"/>
      <c r="F54" s="74"/>
      <c r="G54" s="74"/>
    </row>
    <row r="55" spans="1:7" ht="19.5" customHeight="1" x14ac:dyDescent="0.55000000000000004">
      <c r="B55" s="24" t="s">
        <v>64</v>
      </c>
      <c r="C55" s="75" t="s">
        <v>65</v>
      </c>
      <c r="D55" s="75"/>
      <c r="E55" s="75"/>
      <c r="F55" s="75"/>
      <c r="G55" s="75"/>
    </row>
    <row r="56" spans="1:7" ht="19.5" customHeight="1" x14ac:dyDescent="0.55000000000000004">
      <c r="B56" s="23" t="s">
        <v>66</v>
      </c>
      <c r="C56" s="74" t="s">
        <v>67</v>
      </c>
      <c r="D56" s="74"/>
      <c r="E56" s="74"/>
      <c r="F56" s="74"/>
      <c r="G56" s="74"/>
    </row>
    <row r="57" spans="1:7" ht="19.5" customHeight="1" x14ac:dyDescent="0.55000000000000004">
      <c r="B57" s="24" t="s">
        <v>68</v>
      </c>
      <c r="C57" s="75" t="s">
        <v>69</v>
      </c>
      <c r="D57" s="75"/>
      <c r="E57" s="75"/>
      <c r="F57" s="75"/>
      <c r="G57" s="75"/>
    </row>
    <row r="58" spans="1:7" ht="19.5" customHeight="1" x14ac:dyDescent="0.55000000000000004">
      <c r="B58" s="23" t="s">
        <v>70</v>
      </c>
      <c r="C58" s="74" t="s">
        <v>71</v>
      </c>
      <c r="D58" s="74"/>
      <c r="E58" s="74"/>
      <c r="F58" s="74"/>
      <c r="G58" s="74"/>
    </row>
    <row r="60" spans="1:7" ht="21.75" customHeight="1" x14ac:dyDescent="0.55000000000000004">
      <c r="A60" s="76" t="s">
        <v>72</v>
      </c>
      <c r="B60" s="76"/>
      <c r="C60" s="76"/>
      <c r="D60" s="76"/>
      <c r="E60" s="76"/>
      <c r="F60" s="76"/>
      <c r="G60" s="76"/>
    </row>
  </sheetData>
  <mergeCells count="49">
    <mergeCell ref="C56:G56"/>
    <mergeCell ref="C57:G57"/>
    <mergeCell ref="C58:G58"/>
    <mergeCell ref="A60:G60"/>
    <mergeCell ref="C51:G51"/>
    <mergeCell ref="C52:G52"/>
    <mergeCell ref="C53:G53"/>
    <mergeCell ref="C54:G54"/>
    <mergeCell ref="C55:G55"/>
    <mergeCell ref="A46:G46"/>
    <mergeCell ref="C47:G47"/>
    <mergeCell ref="C48:G48"/>
    <mergeCell ref="C49:G49"/>
    <mergeCell ref="C50:G50"/>
    <mergeCell ref="C40:G40"/>
    <mergeCell ref="C41:G41"/>
    <mergeCell ref="C42:G42"/>
    <mergeCell ref="C43:G43"/>
    <mergeCell ref="C44:G44"/>
    <mergeCell ref="B34:G34"/>
    <mergeCell ref="B35:G35"/>
    <mergeCell ref="A37:G37"/>
    <mergeCell ref="C38:G38"/>
    <mergeCell ref="C39:G39"/>
    <mergeCell ref="B29:G29"/>
    <mergeCell ref="B30:G30"/>
    <mergeCell ref="B31:G31"/>
    <mergeCell ref="B32:G32"/>
    <mergeCell ref="B33:G33"/>
    <mergeCell ref="B24:G24"/>
    <mergeCell ref="B25:G25"/>
    <mergeCell ref="B26:G26"/>
    <mergeCell ref="B27:G27"/>
    <mergeCell ref="B28:G28"/>
    <mergeCell ref="B16:G16"/>
    <mergeCell ref="B17:F17"/>
    <mergeCell ref="B19:G19"/>
    <mergeCell ref="B20:F20"/>
    <mergeCell ref="A23:G23"/>
    <mergeCell ref="B8:F8"/>
    <mergeCell ref="B10:G10"/>
    <mergeCell ref="B11:F11"/>
    <mergeCell ref="B13:G13"/>
    <mergeCell ref="B14:F14"/>
    <mergeCell ref="A1:G1"/>
    <mergeCell ref="A2:G2"/>
    <mergeCell ref="B4:G4"/>
    <mergeCell ref="A6:G6"/>
    <mergeCell ref="B7:G7"/>
  </mergeCells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4"/>
  <sheetViews>
    <sheetView showGridLines="0" zoomScaleNormal="100" workbookViewId="0">
      <selection activeCell="A18" sqref="A18:B18"/>
    </sheetView>
  </sheetViews>
  <sheetFormatPr baseColWidth="10" defaultColWidth="8.68359375" defaultRowHeight="14.4" x14ac:dyDescent="0.55000000000000004"/>
  <cols>
    <col min="1" max="1" width="18" customWidth="1"/>
    <col min="2" max="2" width="22" customWidth="1"/>
    <col min="3" max="4" width="28" customWidth="1"/>
    <col min="5" max="6" width="22" customWidth="1"/>
    <col min="7" max="7" width="18" customWidth="1"/>
  </cols>
  <sheetData>
    <row r="1" spans="1:7" ht="36" customHeight="1" x14ac:dyDescent="0.55000000000000004">
      <c r="A1" s="77" t="s">
        <v>73</v>
      </c>
      <c r="B1" s="77"/>
      <c r="C1" s="77"/>
      <c r="D1" s="77"/>
      <c r="E1" s="77"/>
      <c r="F1" s="77"/>
      <c r="G1" s="77"/>
    </row>
    <row r="2" spans="1:7" ht="18" customHeight="1" x14ac:dyDescent="0.55000000000000004">
      <c r="A2" s="78" t="s">
        <v>74</v>
      </c>
      <c r="B2" s="78"/>
      <c r="C2" s="78"/>
      <c r="D2" s="78"/>
      <c r="E2" s="78"/>
      <c r="F2" s="78"/>
      <c r="G2" s="78"/>
    </row>
    <row r="4" spans="1:7" ht="24" customHeight="1" x14ac:dyDescent="0.55000000000000004">
      <c r="A4" s="103" t="s">
        <v>75</v>
      </c>
      <c r="B4" s="104"/>
    </row>
    <row r="5" spans="1:7" ht="27.75" customHeight="1" x14ac:dyDescent="0.55000000000000004">
      <c r="A5" s="25" t="s">
        <v>76</v>
      </c>
      <c r="B5" s="25" t="s">
        <v>77</v>
      </c>
      <c r="C5" s="25" t="s">
        <v>78</v>
      </c>
      <c r="D5" s="25" t="s">
        <v>79</v>
      </c>
      <c r="E5" s="25" t="s">
        <v>80</v>
      </c>
      <c r="F5" s="25" t="s">
        <v>81</v>
      </c>
      <c r="G5" s="25" t="s">
        <v>82</v>
      </c>
    </row>
    <row r="6" spans="1:7" ht="21.75" customHeight="1" x14ac:dyDescent="0.55000000000000004">
      <c r="A6" s="26" t="s">
        <v>83</v>
      </c>
      <c r="B6" s="27" t="s">
        <v>84</v>
      </c>
      <c r="C6" s="27" t="s">
        <v>85</v>
      </c>
      <c r="D6" s="26" t="s">
        <v>86</v>
      </c>
      <c r="E6" s="27" t="s">
        <v>87</v>
      </c>
      <c r="F6" s="27" t="s">
        <v>88</v>
      </c>
      <c r="G6" s="27" t="s">
        <v>52</v>
      </c>
    </row>
    <row r="7" spans="1:7" ht="21.75" customHeight="1" x14ac:dyDescent="0.55000000000000004">
      <c r="A7" s="28" t="s">
        <v>89</v>
      </c>
      <c r="B7" s="29" t="s">
        <v>90</v>
      </c>
      <c r="C7" s="29" t="s">
        <v>85</v>
      </c>
      <c r="D7" s="28" t="s">
        <v>91</v>
      </c>
      <c r="E7" s="29" t="s">
        <v>92</v>
      </c>
      <c r="F7" s="29" t="s">
        <v>93</v>
      </c>
      <c r="G7" s="29" t="s">
        <v>52</v>
      </c>
    </row>
    <row r="8" spans="1:7" ht="21.75" customHeight="1" x14ac:dyDescent="0.55000000000000004">
      <c r="A8" s="30" t="s">
        <v>94</v>
      </c>
      <c r="B8" s="31" t="s">
        <v>95</v>
      </c>
      <c r="C8" s="31" t="s">
        <v>96</v>
      </c>
      <c r="D8" s="30" t="s">
        <v>97</v>
      </c>
      <c r="E8" s="31" t="s">
        <v>92</v>
      </c>
      <c r="F8" s="31" t="s">
        <v>93</v>
      </c>
      <c r="G8" s="31" t="s">
        <v>52</v>
      </c>
    </row>
    <row r="9" spans="1:7" ht="21.75" customHeight="1" x14ac:dyDescent="0.55000000000000004">
      <c r="A9" s="32" t="s">
        <v>98</v>
      </c>
      <c r="B9" s="33" t="s">
        <v>99</v>
      </c>
      <c r="C9" s="33" t="s">
        <v>100</v>
      </c>
      <c r="D9" s="32" t="s">
        <v>101</v>
      </c>
      <c r="E9" s="33" t="s">
        <v>92</v>
      </c>
      <c r="F9" s="33" t="s">
        <v>93</v>
      </c>
      <c r="G9" s="33" t="s">
        <v>52</v>
      </c>
    </row>
    <row r="11" spans="1:7" ht="24" customHeight="1" x14ac:dyDescent="0.55000000000000004">
      <c r="A11" s="114" t="s">
        <v>102</v>
      </c>
      <c r="B11" s="115"/>
    </row>
    <row r="12" spans="1:7" ht="25.5" customHeight="1" x14ac:dyDescent="0.55000000000000004">
      <c r="A12" s="34" t="s">
        <v>103</v>
      </c>
      <c r="B12" s="34" t="s">
        <v>104</v>
      </c>
      <c r="C12" s="34" t="s">
        <v>78</v>
      </c>
      <c r="D12" s="34" t="s">
        <v>105</v>
      </c>
      <c r="E12" s="34" t="s">
        <v>106</v>
      </c>
      <c r="F12" s="34" t="s">
        <v>107</v>
      </c>
    </row>
    <row r="13" spans="1:7" ht="21.75" customHeight="1" x14ac:dyDescent="0.55000000000000004">
      <c r="A13" s="26" t="s">
        <v>108</v>
      </c>
      <c r="B13" s="35" t="s">
        <v>84</v>
      </c>
      <c r="C13" s="38" t="s">
        <v>114</v>
      </c>
      <c r="D13" s="27" t="s">
        <v>110</v>
      </c>
      <c r="E13" s="27" t="s">
        <v>111</v>
      </c>
      <c r="F13" s="27" t="s">
        <v>112</v>
      </c>
    </row>
    <row r="14" spans="1:7" ht="21.75" customHeight="1" x14ac:dyDescent="0.55000000000000004">
      <c r="A14" s="36" t="s">
        <v>113</v>
      </c>
      <c r="B14" s="37" t="s">
        <v>90</v>
      </c>
      <c r="C14" s="38" t="s">
        <v>114</v>
      </c>
      <c r="D14" s="38" t="s">
        <v>115</v>
      </c>
      <c r="E14" s="38" t="s">
        <v>116</v>
      </c>
      <c r="F14" s="38" t="s">
        <v>117</v>
      </c>
    </row>
    <row r="15" spans="1:7" ht="21.75" customHeight="1" x14ac:dyDescent="0.55000000000000004">
      <c r="A15" s="26" t="s">
        <v>118</v>
      </c>
      <c r="B15" s="35" t="s">
        <v>95</v>
      </c>
      <c r="C15" s="27" t="s">
        <v>119</v>
      </c>
      <c r="D15" s="27" t="s">
        <v>120</v>
      </c>
      <c r="E15" s="27" t="s">
        <v>121</v>
      </c>
      <c r="F15" s="27" t="s">
        <v>122</v>
      </c>
    </row>
    <row r="16" spans="1:7" ht="21.75" customHeight="1" x14ac:dyDescent="0.55000000000000004">
      <c r="A16" s="36" t="s">
        <v>123</v>
      </c>
      <c r="B16" s="37" t="s">
        <v>124</v>
      </c>
      <c r="C16" s="39" t="s">
        <v>125</v>
      </c>
      <c r="D16" s="38" t="s">
        <v>100</v>
      </c>
      <c r="E16" s="38" t="s">
        <v>126</v>
      </c>
      <c r="F16" s="38" t="s">
        <v>127</v>
      </c>
    </row>
    <row r="18" spans="1:7" ht="31.2" customHeight="1" x14ac:dyDescent="0.55000000000000004">
      <c r="A18" s="116" t="s">
        <v>128</v>
      </c>
      <c r="B18" s="117"/>
    </row>
    <row r="19" spans="1:7" ht="21.75" customHeight="1" x14ac:dyDescent="0.55000000000000004">
      <c r="A19" s="22" t="s">
        <v>129</v>
      </c>
      <c r="B19" s="22" t="s">
        <v>130</v>
      </c>
      <c r="C19" s="22" t="s">
        <v>131</v>
      </c>
      <c r="D19" s="22" t="s">
        <v>132</v>
      </c>
    </row>
    <row r="20" spans="1:7" ht="19.5" customHeight="1" x14ac:dyDescent="0.55000000000000004">
      <c r="A20" s="40" t="s">
        <v>133</v>
      </c>
      <c r="B20" s="41" t="s">
        <v>134</v>
      </c>
      <c r="C20" s="41" t="s">
        <v>135</v>
      </c>
      <c r="D20" s="41" t="s">
        <v>136</v>
      </c>
    </row>
    <row r="21" spans="1:7" ht="19.5" customHeight="1" x14ac:dyDescent="0.55000000000000004">
      <c r="A21" s="42" t="s">
        <v>137</v>
      </c>
      <c r="B21" s="43" t="s">
        <v>138</v>
      </c>
      <c r="C21" s="43" t="s">
        <v>139</v>
      </c>
      <c r="D21" s="43" t="s">
        <v>140</v>
      </c>
    </row>
    <row r="22" spans="1:7" ht="19.5" customHeight="1" x14ac:dyDescent="0.55000000000000004">
      <c r="A22" s="40" t="s">
        <v>141</v>
      </c>
      <c r="B22" s="41" t="s">
        <v>142</v>
      </c>
      <c r="C22" s="41" t="s">
        <v>143</v>
      </c>
      <c r="D22" s="41" t="s">
        <v>144</v>
      </c>
    </row>
    <row r="24" spans="1:7" ht="30" customHeight="1" x14ac:dyDescent="0.55000000000000004">
      <c r="A24" s="79" t="s">
        <v>145</v>
      </c>
      <c r="B24" s="79"/>
      <c r="C24" s="79"/>
      <c r="D24" s="79"/>
      <c r="E24" s="79"/>
      <c r="F24" s="79"/>
      <c r="G24" s="79"/>
    </row>
  </sheetData>
  <mergeCells count="6">
    <mergeCell ref="A1:G1"/>
    <mergeCell ref="A2:G2"/>
    <mergeCell ref="A24:G24"/>
    <mergeCell ref="A4:B4"/>
    <mergeCell ref="A11:B11"/>
    <mergeCell ref="A18:B18"/>
  </mergeCells>
  <pageMargins left="0.75" right="0.75" top="1" bottom="1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23"/>
  <sheetViews>
    <sheetView showGridLines="0" zoomScaleNormal="100" workbookViewId="0">
      <selection activeCell="A19" sqref="A19"/>
    </sheetView>
  </sheetViews>
  <sheetFormatPr baseColWidth="10" defaultColWidth="8.68359375" defaultRowHeight="14.4" x14ac:dyDescent="0.55000000000000004"/>
  <cols>
    <col min="1" max="1" width="21" customWidth="1"/>
    <col min="2" max="2" width="20" customWidth="1"/>
    <col min="3" max="3" width="30" customWidth="1"/>
    <col min="4" max="4" width="20" customWidth="1"/>
    <col min="5" max="6" width="18" customWidth="1"/>
    <col min="7" max="8" width="16" customWidth="1"/>
  </cols>
  <sheetData>
    <row r="1" spans="1:8" ht="36" customHeight="1" x14ac:dyDescent="0.55000000000000004">
      <c r="A1" s="80" t="s">
        <v>146</v>
      </c>
      <c r="B1" s="80"/>
      <c r="C1" s="80"/>
      <c r="D1" s="80"/>
      <c r="E1" s="80"/>
      <c r="F1" s="80"/>
      <c r="G1" s="80"/>
      <c r="H1" s="80"/>
    </row>
    <row r="2" spans="1:8" ht="18" customHeight="1" x14ac:dyDescent="0.55000000000000004">
      <c r="A2" s="78" t="s">
        <v>147</v>
      </c>
      <c r="B2" s="78"/>
      <c r="C2" s="78"/>
      <c r="D2" s="78"/>
      <c r="E2" s="78"/>
      <c r="F2" s="78"/>
      <c r="G2" s="78"/>
      <c r="H2" s="78"/>
    </row>
    <row r="4" spans="1:8" ht="44.1" customHeight="1" x14ac:dyDescent="0.55000000000000004">
      <c r="A4" s="118" t="s">
        <v>148</v>
      </c>
    </row>
    <row r="5" spans="1:8" ht="21.75" customHeight="1" x14ac:dyDescent="0.55000000000000004">
      <c r="B5" s="44" t="s">
        <v>149</v>
      </c>
      <c r="C5" s="81" t="s">
        <v>150</v>
      </c>
      <c r="D5" s="81"/>
      <c r="E5" s="81"/>
      <c r="F5" s="81"/>
      <c r="G5" s="81"/>
    </row>
    <row r="6" spans="1:8" ht="21.75" customHeight="1" x14ac:dyDescent="0.55000000000000004">
      <c r="B6" s="44" t="s">
        <v>151</v>
      </c>
      <c r="C6" s="81" t="s">
        <v>152</v>
      </c>
      <c r="D6" s="81"/>
      <c r="E6" s="81"/>
      <c r="F6" s="81"/>
      <c r="G6" s="81"/>
    </row>
    <row r="7" spans="1:8" ht="21.75" customHeight="1" x14ac:dyDescent="0.55000000000000004">
      <c r="B7" s="44" t="s">
        <v>153</v>
      </c>
      <c r="C7" s="81" t="s">
        <v>154</v>
      </c>
      <c r="D7" s="81"/>
      <c r="E7" s="81"/>
      <c r="F7" s="81"/>
      <c r="G7" s="81"/>
    </row>
    <row r="8" spans="1:8" ht="21.75" customHeight="1" x14ac:dyDescent="0.55000000000000004">
      <c r="B8" s="44" t="s">
        <v>155</v>
      </c>
      <c r="C8" s="81" t="s">
        <v>156</v>
      </c>
      <c r="D8" s="81"/>
      <c r="E8" s="81"/>
      <c r="F8" s="81"/>
      <c r="G8" s="81"/>
    </row>
    <row r="10" spans="1:8" ht="36.299999999999997" customHeight="1" x14ac:dyDescent="0.55000000000000004">
      <c r="A10" s="119" t="s">
        <v>157</v>
      </c>
    </row>
    <row r="11" spans="1:8" ht="21.75" customHeight="1" x14ac:dyDescent="0.55000000000000004">
      <c r="B11" s="44" t="s">
        <v>158</v>
      </c>
      <c r="C11" s="81" t="s">
        <v>159</v>
      </c>
      <c r="D11" s="81"/>
      <c r="E11" s="81"/>
      <c r="F11" s="81"/>
      <c r="G11" s="81"/>
    </row>
    <row r="12" spans="1:8" ht="21.75" customHeight="1" x14ac:dyDescent="0.55000000000000004">
      <c r="B12" s="44" t="s">
        <v>129</v>
      </c>
      <c r="C12" s="81" t="s">
        <v>160</v>
      </c>
      <c r="D12" s="81"/>
      <c r="E12" s="81"/>
      <c r="F12" s="81"/>
      <c r="G12" s="81"/>
    </row>
    <row r="13" spans="1:8" ht="21.75" customHeight="1" x14ac:dyDescent="0.55000000000000004">
      <c r="B13" s="44" t="s">
        <v>161</v>
      </c>
      <c r="C13" s="81" t="s">
        <v>162</v>
      </c>
      <c r="D13" s="81"/>
      <c r="E13" s="81"/>
      <c r="F13" s="81"/>
      <c r="G13" s="81"/>
    </row>
    <row r="14" spans="1:8" ht="21.75" customHeight="1" x14ac:dyDescent="0.55000000000000004">
      <c r="B14" s="44" t="s">
        <v>163</v>
      </c>
      <c r="C14" s="81" t="s">
        <v>164</v>
      </c>
      <c r="D14" s="81"/>
      <c r="E14" s="81"/>
      <c r="F14" s="81"/>
      <c r="G14" s="81"/>
    </row>
    <row r="16" spans="1:8" ht="71.7" customHeight="1" x14ac:dyDescent="0.55000000000000004">
      <c r="A16" s="120" t="s">
        <v>165</v>
      </c>
    </row>
    <row r="17" spans="1:8" ht="24" customHeight="1" x14ac:dyDescent="0.55000000000000004">
      <c r="B17" s="82" t="s">
        <v>166</v>
      </c>
      <c r="C17" s="82"/>
      <c r="D17" s="82"/>
      <c r="E17" s="83" t="str">
        <f>IF(C11="","— Saisir le montant —",IF(C11&lt;=5000,"Trésorier seul (≤ 5 000 MRU)",IF(C11&lt;=50000,"Accord Président CG (5 001 – 50 000 MRU)",IF(C11&lt;=200000,"Décision CG en réunion (50 001 – 200 000 MRU)","Vote AG obligatoire (&gt; 200 000 MRU)"))))</f>
        <v>Vote AG obligatoire (&gt; 200 000 MRU)</v>
      </c>
      <c r="F17" s="83"/>
      <c r="G17" s="83"/>
      <c r="H17" s="83"/>
    </row>
    <row r="19" spans="1:8" ht="34.799999999999997" customHeight="1" x14ac:dyDescent="0.55000000000000004">
      <c r="A19" s="121" t="s">
        <v>167</v>
      </c>
    </row>
    <row r="20" spans="1:8" ht="15" customHeight="1" x14ac:dyDescent="0.55000000000000004">
      <c r="B20" s="84" t="s">
        <v>153</v>
      </c>
      <c r="C20" s="84"/>
      <c r="D20" s="84" t="s">
        <v>168</v>
      </c>
      <c r="E20" s="84"/>
      <c r="F20" s="84" t="s">
        <v>169</v>
      </c>
      <c r="G20" s="84"/>
      <c r="H20" s="45" t="s">
        <v>81</v>
      </c>
    </row>
    <row r="21" spans="1:8" ht="21.75" customHeight="1" x14ac:dyDescent="0.55000000000000004">
      <c r="B21" s="85" t="s">
        <v>170</v>
      </c>
      <c r="C21" s="85"/>
      <c r="D21" s="85" t="s">
        <v>170</v>
      </c>
      <c r="E21" s="85"/>
      <c r="F21" s="85" t="s">
        <v>170</v>
      </c>
      <c r="G21" s="85"/>
      <c r="H21" s="46" t="s">
        <v>170</v>
      </c>
    </row>
    <row r="22" spans="1:8" ht="21.75" customHeight="1" x14ac:dyDescent="0.55000000000000004">
      <c r="B22" s="85" t="s">
        <v>171</v>
      </c>
      <c r="C22" s="85"/>
      <c r="D22" s="85" t="s">
        <v>171</v>
      </c>
      <c r="E22" s="85"/>
      <c r="F22" s="85" t="s">
        <v>171</v>
      </c>
      <c r="G22" s="85"/>
      <c r="H22" s="46" t="s">
        <v>171</v>
      </c>
    </row>
    <row r="23" spans="1:8" ht="21.75" customHeight="1" x14ac:dyDescent="0.55000000000000004">
      <c r="B23" s="85" t="s">
        <v>172</v>
      </c>
      <c r="C23" s="85"/>
      <c r="D23" s="85" t="s">
        <v>172</v>
      </c>
      <c r="E23" s="85"/>
      <c r="F23" s="85" t="s">
        <v>172</v>
      </c>
      <c r="G23" s="85"/>
      <c r="H23" s="46" t="s">
        <v>172</v>
      </c>
    </row>
  </sheetData>
  <mergeCells count="24">
    <mergeCell ref="B23:C23"/>
    <mergeCell ref="D23:E23"/>
    <mergeCell ref="F23:G23"/>
    <mergeCell ref="B21:C21"/>
    <mergeCell ref="D21:E21"/>
    <mergeCell ref="F21:G21"/>
    <mergeCell ref="B22:C22"/>
    <mergeCell ref="D22:E22"/>
    <mergeCell ref="F22:G22"/>
    <mergeCell ref="B17:D17"/>
    <mergeCell ref="E17:H17"/>
    <mergeCell ref="B20:C20"/>
    <mergeCell ref="D20:E20"/>
    <mergeCell ref="F20:G20"/>
    <mergeCell ref="C8:G8"/>
    <mergeCell ref="C11:G11"/>
    <mergeCell ref="C12:G12"/>
    <mergeCell ref="C13:G13"/>
    <mergeCell ref="C14:G14"/>
    <mergeCell ref="A1:H1"/>
    <mergeCell ref="A2:H2"/>
    <mergeCell ref="C5:G5"/>
    <mergeCell ref="C6:G6"/>
    <mergeCell ref="C7:G7"/>
  </mergeCells>
  <conditionalFormatting sqref="E17">
    <cfRule type="expression" dxfId="11" priority="2">
      <formula>C11&lt;=5000</formula>
    </cfRule>
    <cfRule type="expression" dxfId="10" priority="3">
      <formula>AND(C11&gt;5000,C11&lt;=50000)</formula>
    </cfRule>
    <cfRule type="expression" dxfId="9" priority="4">
      <formula>AND(C11&gt;50000,C11&lt;=200000)</formula>
    </cfRule>
    <cfRule type="expression" dxfId="8" priority="5">
      <formula>C11&gt;200000</formula>
    </cfRule>
  </conditionalFormatting>
  <pageMargins left="0.75" right="0.75" top="1" bottom="1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1"/>
  <sheetViews>
    <sheetView showGridLines="0" zoomScaleNormal="100" workbookViewId="0">
      <pane ySplit="10" topLeftCell="A58" activePane="bottomLeft" state="frozen"/>
      <selection pane="bottomLeft" activeCell="A40" sqref="A40:XFD40"/>
    </sheetView>
  </sheetViews>
  <sheetFormatPr baseColWidth="10" defaultColWidth="8.68359375" defaultRowHeight="14.4" x14ac:dyDescent="0.55000000000000004"/>
  <cols>
    <col min="1" max="1" width="12.734375" customWidth="1"/>
    <col min="2" max="2" width="12" customWidth="1"/>
    <col min="3" max="3" width="28" customWidth="1"/>
    <col min="4" max="4" width="18" customWidth="1"/>
    <col min="5" max="5" width="16" customWidth="1"/>
    <col min="6" max="6" width="14" customWidth="1"/>
    <col min="7" max="7" width="16" customWidth="1"/>
    <col min="8" max="8" width="18" customWidth="1"/>
    <col min="9" max="10" width="16" customWidth="1"/>
    <col min="11" max="11" width="14" customWidth="1"/>
  </cols>
  <sheetData>
    <row r="1" spans="1:11" ht="36" customHeight="1" x14ac:dyDescent="0.55000000000000004">
      <c r="A1" s="80" t="s">
        <v>173</v>
      </c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 ht="18" customHeight="1" x14ac:dyDescent="0.55000000000000004">
      <c r="A2" s="78" t="s">
        <v>174</v>
      </c>
      <c r="B2" s="78"/>
      <c r="C2" s="78"/>
      <c r="D2" s="78"/>
      <c r="E2" s="78"/>
      <c r="F2" s="78"/>
      <c r="G2" s="78"/>
      <c r="H2" s="78"/>
      <c r="I2" s="78"/>
      <c r="J2" s="78"/>
      <c r="K2" s="78"/>
    </row>
    <row r="4" spans="1:11" ht="65.7" customHeight="1" x14ac:dyDescent="0.55000000000000004">
      <c r="A4" s="101" t="s">
        <v>175</v>
      </c>
      <c r="B4" s="102"/>
    </row>
    <row r="5" spans="1:11" ht="25.5" customHeight="1" x14ac:dyDescent="0.55000000000000004">
      <c r="A5" s="34" t="s">
        <v>103</v>
      </c>
      <c r="B5" s="34" t="s">
        <v>104</v>
      </c>
      <c r="C5" s="34" t="s">
        <v>78</v>
      </c>
      <c r="D5" s="34" t="s">
        <v>176</v>
      </c>
      <c r="E5" s="34" t="s">
        <v>177</v>
      </c>
      <c r="F5" s="34" t="s">
        <v>178</v>
      </c>
      <c r="G5" s="34" t="s">
        <v>179</v>
      </c>
    </row>
    <row r="6" spans="1:11" ht="21.75" customHeight="1" x14ac:dyDescent="0.55000000000000004">
      <c r="A6" s="47" t="s">
        <v>140</v>
      </c>
      <c r="B6" s="48">
        <v>20000</v>
      </c>
      <c r="C6" s="52" t="s">
        <v>114</v>
      </c>
      <c r="D6" s="48">
        <v>0</v>
      </c>
      <c r="E6" s="48">
        <f>B6-D6</f>
        <v>20000</v>
      </c>
      <c r="F6" s="48">
        <f>B6*0.8</f>
        <v>16000</v>
      </c>
      <c r="G6" s="49" t="str">
        <f>IF(D6&gt;=B6,"🔴 DÉPASSÉ",IF(D6&gt;=F6,"🟠 ALERTE 80%","🟢 OK"))</f>
        <v>🟢 OK</v>
      </c>
    </row>
    <row r="7" spans="1:11" ht="21.75" customHeight="1" x14ac:dyDescent="0.55000000000000004">
      <c r="A7" s="50" t="s">
        <v>180</v>
      </c>
      <c r="B7" s="51">
        <v>100000</v>
      </c>
      <c r="C7" s="52" t="s">
        <v>114</v>
      </c>
      <c r="D7" s="51">
        <v>0</v>
      </c>
      <c r="E7" s="51">
        <f>B7-D7</f>
        <v>100000</v>
      </c>
      <c r="F7" s="51">
        <f>B7*0.8</f>
        <v>80000</v>
      </c>
      <c r="G7" s="52" t="str">
        <f>IF(D7&gt;=B7,"🔴 DÉPASSÉ",IF(D7&gt;=F7,"🟠 ALERTE 80%","🟢 OK"))</f>
        <v>🟢 OK</v>
      </c>
    </row>
    <row r="8" spans="1:11" ht="21.75" customHeight="1" x14ac:dyDescent="0.55000000000000004">
      <c r="A8" s="47" t="s">
        <v>118</v>
      </c>
      <c r="B8" s="48">
        <v>200000</v>
      </c>
      <c r="C8" s="49" t="s">
        <v>119</v>
      </c>
      <c r="D8" s="48">
        <v>0</v>
      </c>
      <c r="E8" s="48">
        <f>B8-D8</f>
        <v>200000</v>
      </c>
      <c r="F8" s="48">
        <f>B8*0.8</f>
        <v>160000</v>
      </c>
      <c r="G8" s="49" t="str">
        <f>IF(D8&gt;=B8,"🔴 DÉPASSÉ",IF(D8&gt;=F8,"🟠 ALERTE 80%","🟢 OK"))</f>
        <v>🟢 OK</v>
      </c>
    </row>
    <row r="9" spans="1:11" ht="30" customHeight="1" x14ac:dyDescent="0.55000000000000004">
      <c r="A9" s="105" t="s">
        <v>181</v>
      </c>
      <c r="B9" s="106"/>
    </row>
    <row r="10" spans="1:11" ht="27.75" customHeight="1" x14ac:dyDescent="0.55000000000000004">
      <c r="A10" s="53" t="s">
        <v>182</v>
      </c>
      <c r="B10" s="53" t="s">
        <v>151</v>
      </c>
      <c r="C10" s="53" t="s">
        <v>155</v>
      </c>
      <c r="D10" s="53" t="s">
        <v>183</v>
      </c>
      <c r="E10" s="53" t="s">
        <v>158</v>
      </c>
      <c r="F10" s="53" t="s">
        <v>184</v>
      </c>
      <c r="G10" s="53" t="s">
        <v>149</v>
      </c>
      <c r="H10" s="53" t="s">
        <v>185</v>
      </c>
      <c r="I10" s="53" t="s">
        <v>186</v>
      </c>
      <c r="J10" s="53" t="s">
        <v>187</v>
      </c>
      <c r="K10" s="53" t="s">
        <v>188</v>
      </c>
    </row>
    <row r="11" spans="1:11" ht="19.5" customHeight="1" x14ac:dyDescent="0.55000000000000004">
      <c r="A11" s="54" t="str">
        <f t="shared" ref="A11:A30" si="0">IF(C11&lt;&gt;"",ROW()-10,"")</f>
        <v/>
      </c>
      <c r="B11" s="54"/>
      <c r="C11" s="54"/>
      <c r="D11" s="54"/>
      <c r="E11" s="55"/>
      <c r="F11" s="54"/>
      <c r="G11" s="54"/>
      <c r="H11" s="54" t="str">
        <f t="shared" ref="H11:H30" si="1">IF(E11="","",IF(E11&lt;=5000,"Trésorier seul",IF(E11&lt;=50000,"Président CG",IF(E11&lt;=200000,"CG en réunion","Vote AG"))))</f>
        <v/>
      </c>
      <c r="I11" s="54"/>
      <c r="J11" s="54"/>
      <c r="K11" s="54"/>
    </row>
    <row r="12" spans="1:11" ht="19.5" customHeight="1" x14ac:dyDescent="0.55000000000000004">
      <c r="A12" s="56" t="str">
        <f t="shared" si="0"/>
        <v/>
      </c>
      <c r="B12" s="56"/>
      <c r="C12" s="56"/>
      <c r="D12" s="56"/>
      <c r="E12" s="57"/>
      <c r="F12" s="56"/>
      <c r="G12" s="56"/>
      <c r="H12" s="56" t="str">
        <f t="shared" si="1"/>
        <v/>
      </c>
      <c r="I12" s="56"/>
      <c r="J12" s="56"/>
      <c r="K12" s="56"/>
    </row>
    <row r="13" spans="1:11" ht="19.5" customHeight="1" x14ac:dyDescent="0.55000000000000004">
      <c r="A13" s="54" t="str">
        <f t="shared" si="0"/>
        <v/>
      </c>
      <c r="B13" s="54"/>
      <c r="C13" s="54"/>
      <c r="D13" s="54"/>
      <c r="E13" s="55"/>
      <c r="F13" s="54"/>
      <c r="G13" s="54"/>
      <c r="H13" s="54" t="str">
        <f t="shared" si="1"/>
        <v/>
      </c>
      <c r="I13" s="54"/>
      <c r="J13" s="54"/>
      <c r="K13" s="54"/>
    </row>
    <row r="14" spans="1:11" ht="19.5" customHeight="1" x14ac:dyDescent="0.55000000000000004">
      <c r="A14" s="56" t="str">
        <f t="shared" si="0"/>
        <v/>
      </c>
      <c r="B14" s="56"/>
      <c r="C14" s="56"/>
      <c r="D14" s="56"/>
      <c r="E14" s="57"/>
      <c r="F14" s="56"/>
      <c r="G14" s="56"/>
      <c r="H14" s="56" t="str">
        <f t="shared" si="1"/>
        <v/>
      </c>
      <c r="I14" s="56"/>
      <c r="J14" s="56"/>
      <c r="K14" s="56"/>
    </row>
    <row r="15" spans="1:11" ht="19.5" customHeight="1" x14ac:dyDescent="0.55000000000000004">
      <c r="A15" s="54" t="str">
        <f t="shared" si="0"/>
        <v/>
      </c>
      <c r="B15" s="54"/>
      <c r="C15" s="54"/>
      <c r="D15" s="54"/>
      <c r="E15" s="55"/>
      <c r="F15" s="54"/>
      <c r="G15" s="54"/>
      <c r="H15" s="54" t="str">
        <f t="shared" si="1"/>
        <v/>
      </c>
      <c r="I15" s="54"/>
      <c r="J15" s="54"/>
      <c r="K15" s="54"/>
    </row>
    <row r="16" spans="1:11" ht="19.5" customHeight="1" x14ac:dyDescent="0.55000000000000004">
      <c r="A16" s="56" t="str">
        <f t="shared" si="0"/>
        <v/>
      </c>
      <c r="B16" s="56"/>
      <c r="C16" s="56"/>
      <c r="D16" s="56"/>
      <c r="E16" s="57"/>
      <c r="F16" s="56"/>
      <c r="G16" s="56"/>
      <c r="H16" s="56" t="str">
        <f t="shared" si="1"/>
        <v/>
      </c>
      <c r="I16" s="56"/>
      <c r="J16" s="56"/>
      <c r="K16" s="56"/>
    </row>
    <row r="17" spans="1:11" ht="19.5" customHeight="1" x14ac:dyDescent="0.55000000000000004">
      <c r="A17" s="54" t="str">
        <f t="shared" si="0"/>
        <v/>
      </c>
      <c r="B17" s="54"/>
      <c r="C17" s="54"/>
      <c r="D17" s="54"/>
      <c r="E17" s="55"/>
      <c r="F17" s="54"/>
      <c r="G17" s="54"/>
      <c r="H17" s="54" t="str">
        <f t="shared" si="1"/>
        <v/>
      </c>
      <c r="I17" s="54"/>
      <c r="J17" s="54"/>
      <c r="K17" s="54"/>
    </row>
    <row r="18" spans="1:11" ht="19.5" customHeight="1" x14ac:dyDescent="0.55000000000000004">
      <c r="A18" s="56" t="str">
        <f t="shared" si="0"/>
        <v/>
      </c>
      <c r="B18" s="56"/>
      <c r="C18" s="56"/>
      <c r="D18" s="56"/>
      <c r="E18" s="57"/>
      <c r="F18" s="56"/>
      <c r="G18" s="56"/>
      <c r="H18" s="56" t="str">
        <f t="shared" si="1"/>
        <v/>
      </c>
      <c r="I18" s="56"/>
      <c r="J18" s="56"/>
      <c r="K18" s="56"/>
    </row>
    <row r="19" spans="1:11" ht="19.5" customHeight="1" x14ac:dyDescent="0.55000000000000004">
      <c r="A19" s="54" t="str">
        <f t="shared" si="0"/>
        <v/>
      </c>
      <c r="B19" s="54"/>
      <c r="C19" s="54"/>
      <c r="D19" s="54"/>
      <c r="E19" s="55"/>
      <c r="F19" s="54"/>
      <c r="G19" s="54"/>
      <c r="H19" s="54" t="str">
        <f t="shared" si="1"/>
        <v/>
      </c>
      <c r="I19" s="54"/>
      <c r="J19" s="54"/>
      <c r="K19" s="54"/>
    </row>
    <row r="20" spans="1:11" ht="19.5" customHeight="1" x14ac:dyDescent="0.55000000000000004">
      <c r="A20" s="56" t="str">
        <f t="shared" si="0"/>
        <v/>
      </c>
      <c r="B20" s="56"/>
      <c r="C20" s="56"/>
      <c r="D20" s="56"/>
      <c r="E20" s="57"/>
      <c r="F20" s="56"/>
      <c r="G20" s="56"/>
      <c r="H20" s="56" t="str">
        <f t="shared" si="1"/>
        <v/>
      </c>
      <c r="I20" s="56"/>
      <c r="J20" s="56"/>
      <c r="K20" s="56"/>
    </row>
    <row r="21" spans="1:11" ht="19.5" customHeight="1" x14ac:dyDescent="0.55000000000000004">
      <c r="A21" s="54" t="str">
        <f t="shared" si="0"/>
        <v/>
      </c>
      <c r="B21" s="54"/>
      <c r="C21" s="54"/>
      <c r="D21" s="54"/>
      <c r="E21" s="55"/>
      <c r="F21" s="54"/>
      <c r="G21" s="54"/>
      <c r="H21" s="54" t="str">
        <f t="shared" si="1"/>
        <v/>
      </c>
      <c r="I21" s="54"/>
      <c r="J21" s="54"/>
      <c r="K21" s="54"/>
    </row>
    <row r="22" spans="1:11" ht="19.5" customHeight="1" x14ac:dyDescent="0.55000000000000004">
      <c r="A22" s="56" t="str">
        <f t="shared" si="0"/>
        <v/>
      </c>
      <c r="B22" s="56"/>
      <c r="C22" s="56"/>
      <c r="D22" s="56"/>
      <c r="E22" s="57"/>
      <c r="F22" s="56"/>
      <c r="G22" s="56"/>
      <c r="H22" s="56" t="str">
        <f t="shared" si="1"/>
        <v/>
      </c>
      <c r="I22" s="56"/>
      <c r="J22" s="56"/>
      <c r="K22" s="56"/>
    </row>
    <row r="23" spans="1:11" ht="19.5" customHeight="1" x14ac:dyDescent="0.55000000000000004">
      <c r="A23" s="54" t="str">
        <f t="shared" si="0"/>
        <v/>
      </c>
      <c r="B23" s="54"/>
      <c r="C23" s="54"/>
      <c r="D23" s="54"/>
      <c r="E23" s="55"/>
      <c r="F23" s="54"/>
      <c r="G23" s="54"/>
      <c r="H23" s="54" t="str">
        <f t="shared" si="1"/>
        <v/>
      </c>
      <c r="I23" s="54"/>
      <c r="J23" s="54"/>
      <c r="K23" s="54"/>
    </row>
    <row r="24" spans="1:11" ht="19.5" customHeight="1" x14ac:dyDescent="0.55000000000000004">
      <c r="A24" s="56" t="str">
        <f t="shared" si="0"/>
        <v/>
      </c>
      <c r="B24" s="56"/>
      <c r="C24" s="56"/>
      <c r="D24" s="56"/>
      <c r="E24" s="57"/>
      <c r="F24" s="56"/>
      <c r="G24" s="56"/>
      <c r="H24" s="56" t="str">
        <f t="shared" si="1"/>
        <v/>
      </c>
      <c r="I24" s="56"/>
      <c r="J24" s="56"/>
      <c r="K24" s="56"/>
    </row>
    <row r="25" spans="1:11" ht="19.5" customHeight="1" x14ac:dyDescent="0.55000000000000004">
      <c r="A25" s="54" t="str">
        <f t="shared" si="0"/>
        <v/>
      </c>
      <c r="B25" s="54"/>
      <c r="C25" s="54"/>
      <c r="D25" s="54"/>
      <c r="E25" s="55"/>
      <c r="F25" s="54"/>
      <c r="G25" s="54"/>
      <c r="H25" s="54" t="str">
        <f t="shared" si="1"/>
        <v/>
      </c>
      <c r="I25" s="54"/>
      <c r="J25" s="54"/>
      <c r="K25" s="54"/>
    </row>
    <row r="26" spans="1:11" ht="19.5" customHeight="1" x14ac:dyDescent="0.55000000000000004">
      <c r="A26" s="56" t="str">
        <f t="shared" si="0"/>
        <v/>
      </c>
      <c r="B26" s="56"/>
      <c r="C26" s="56"/>
      <c r="D26" s="56"/>
      <c r="E26" s="57"/>
      <c r="F26" s="56"/>
      <c r="G26" s="56"/>
      <c r="H26" s="56" t="str">
        <f t="shared" si="1"/>
        <v/>
      </c>
      <c r="I26" s="56"/>
      <c r="J26" s="56"/>
      <c r="K26" s="56"/>
    </row>
    <row r="27" spans="1:11" ht="19.5" customHeight="1" x14ac:dyDescent="0.55000000000000004">
      <c r="A27" s="54" t="str">
        <f t="shared" si="0"/>
        <v/>
      </c>
      <c r="B27" s="54"/>
      <c r="C27" s="54"/>
      <c r="D27" s="54"/>
      <c r="E27" s="55"/>
      <c r="F27" s="54"/>
      <c r="G27" s="54"/>
      <c r="H27" s="54" t="str">
        <f t="shared" si="1"/>
        <v/>
      </c>
      <c r="I27" s="54"/>
      <c r="J27" s="54"/>
      <c r="K27" s="54"/>
    </row>
    <row r="28" spans="1:11" ht="19.5" customHeight="1" x14ac:dyDescent="0.55000000000000004">
      <c r="A28" s="56" t="str">
        <f t="shared" si="0"/>
        <v/>
      </c>
      <c r="B28" s="56"/>
      <c r="C28" s="56"/>
      <c r="D28" s="56"/>
      <c r="E28" s="57"/>
      <c r="F28" s="56"/>
      <c r="G28" s="56"/>
      <c r="H28" s="56" t="str">
        <f t="shared" si="1"/>
        <v/>
      </c>
      <c r="I28" s="56"/>
      <c r="J28" s="56"/>
      <c r="K28" s="56"/>
    </row>
    <row r="29" spans="1:11" ht="19.5" customHeight="1" x14ac:dyDescent="0.55000000000000004">
      <c r="A29" s="54" t="str">
        <f t="shared" si="0"/>
        <v/>
      </c>
      <c r="B29" s="54"/>
      <c r="C29" s="54"/>
      <c r="D29" s="54"/>
      <c r="E29" s="55"/>
      <c r="F29" s="54"/>
      <c r="G29" s="54"/>
      <c r="H29" s="54" t="str">
        <f t="shared" si="1"/>
        <v/>
      </c>
      <c r="I29" s="54"/>
      <c r="J29" s="54"/>
      <c r="K29" s="54"/>
    </row>
    <row r="30" spans="1:11" ht="19.5" customHeight="1" x14ac:dyDescent="0.55000000000000004">
      <c r="A30" s="56" t="str">
        <f t="shared" si="0"/>
        <v/>
      </c>
      <c r="B30" s="56"/>
      <c r="C30" s="56"/>
      <c r="D30" s="56"/>
      <c r="E30" s="57"/>
      <c r="F30" s="56"/>
      <c r="G30" s="56"/>
      <c r="H30" s="56" t="str">
        <f t="shared" si="1"/>
        <v/>
      </c>
      <c r="I30" s="56"/>
      <c r="J30" s="56"/>
      <c r="K30" s="56"/>
    </row>
    <row r="31" spans="1:11" ht="24" customHeight="1" x14ac:dyDescent="0.55000000000000004">
      <c r="A31" s="58"/>
      <c r="B31" s="58"/>
      <c r="C31" s="58"/>
      <c r="D31" s="58" t="s">
        <v>189</v>
      </c>
      <c r="E31" s="59">
        <f>SUM(E11:E30)</f>
        <v>0</v>
      </c>
      <c r="F31" s="58"/>
      <c r="G31" s="58"/>
      <c r="H31" s="58"/>
      <c r="I31" s="58"/>
      <c r="J31" s="58"/>
      <c r="K31" s="58"/>
    </row>
  </sheetData>
  <mergeCells count="4">
    <mergeCell ref="A1:K1"/>
    <mergeCell ref="A2:K2"/>
    <mergeCell ref="A4:B4"/>
    <mergeCell ref="A9:B9"/>
  </mergeCells>
  <conditionalFormatting sqref="E11:E30">
    <cfRule type="expression" dxfId="7" priority="8">
      <formula>E11&gt;200000</formula>
    </cfRule>
    <cfRule type="expression" dxfId="6" priority="9">
      <formula>AND(E11&gt;50000,E11&lt;=200000)</formula>
    </cfRule>
    <cfRule type="expression" dxfId="5" priority="10">
      <formula>AND(E11&gt;5000,E11&lt;=50000)</formula>
    </cfRule>
    <cfRule type="expression" dxfId="4" priority="11">
      <formula>AND(E11&gt;0,E11&lt;=5000)</formula>
    </cfRule>
  </conditionalFormatting>
  <conditionalFormatting sqref="G6:G8">
    <cfRule type="expression" dxfId="3" priority="2">
      <formula>D6&gt;=B6</formula>
    </cfRule>
    <cfRule type="expression" dxfId="2" priority="3">
      <formula>AND(D6&gt;=B6*0.8,D6&lt;B6)</formula>
    </cfRule>
  </conditionalFormatting>
  <dataValidations count="3">
    <dataValidation type="list" allowBlank="1" sqref="H11:H30" xr:uid="{00000000-0002-0000-0300-000000000000}">
      <formula1>"Trésorier seul,Président CG,CG en réunion,Vote AG"</formula1>
      <formula2>0</formula2>
    </dataValidation>
    <dataValidation type="list" allowBlank="1" sqref="F11:F30" xr:uid="{00000000-0002-0000-0300-000001000000}">
      <formula1>"Virement,Chèque,Bankily,Masrevi,Seddad,Espèces"</formula1>
      <formula2>0</formula2>
    </dataValidation>
    <dataValidation type="list" allowBlank="1" sqref="I11:K30" xr:uid="{00000000-0002-0000-0300-000002000000}">
      <formula1>"✓ Oui,✗ Non,En attente"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42"/>
  <sheetViews>
    <sheetView showGridLines="0" zoomScaleNormal="100" workbookViewId="0">
      <pane ySplit="11" topLeftCell="A23" activePane="bottomLeft" state="frozen"/>
      <selection pane="bottomLeft" activeCell="C8" sqref="C8:D8"/>
    </sheetView>
  </sheetViews>
  <sheetFormatPr baseColWidth="10" defaultColWidth="8.68359375" defaultRowHeight="14.4" x14ac:dyDescent="0.55000000000000004"/>
  <cols>
    <col min="1" max="1" width="6" customWidth="1"/>
    <col min="2" max="2" width="22" customWidth="1"/>
    <col min="3" max="3" width="16" customWidth="1"/>
    <col min="4" max="4" width="14" customWidth="1"/>
    <col min="5" max="5" width="16" customWidth="1"/>
    <col min="6" max="6" width="14" customWidth="1"/>
    <col min="7" max="8" width="16" customWidth="1"/>
    <col min="9" max="9" width="14" customWidth="1"/>
    <col min="10" max="10" width="18" customWidth="1"/>
  </cols>
  <sheetData>
    <row r="1" spans="1:10" ht="36" customHeight="1" x14ac:dyDescent="0.55000000000000004">
      <c r="A1" s="80" t="s">
        <v>190</v>
      </c>
      <c r="B1" s="80"/>
      <c r="C1" s="80"/>
      <c r="D1" s="80"/>
      <c r="E1" s="80"/>
      <c r="F1" s="80"/>
      <c r="G1" s="80"/>
      <c r="H1" s="80"/>
      <c r="I1" s="80"/>
      <c r="J1" s="80"/>
    </row>
    <row r="2" spans="1:10" ht="18" customHeight="1" x14ac:dyDescent="0.55000000000000004">
      <c r="A2" s="78" t="s">
        <v>191</v>
      </c>
      <c r="B2" s="78"/>
      <c r="C2" s="78"/>
      <c r="D2" s="78"/>
      <c r="E2" s="78"/>
      <c r="F2" s="78"/>
      <c r="G2" s="78"/>
      <c r="H2" s="78"/>
      <c r="I2" s="78"/>
      <c r="J2" s="78"/>
    </row>
    <row r="4" spans="1:10" ht="24" customHeight="1" x14ac:dyDescent="0.55000000000000004">
      <c r="A4" s="107" t="s">
        <v>192</v>
      </c>
      <c r="B4" s="108"/>
    </row>
    <row r="5" spans="1:10" ht="25.5" customHeight="1" x14ac:dyDescent="0.55000000000000004">
      <c r="A5" s="86" t="s">
        <v>193</v>
      </c>
      <c r="B5" s="86"/>
      <c r="C5" s="86" t="s">
        <v>194</v>
      </c>
      <c r="D5" s="86"/>
      <c r="E5" s="86" t="s">
        <v>195</v>
      </c>
      <c r="F5" s="86"/>
      <c r="G5" s="86" t="s">
        <v>196</v>
      </c>
      <c r="H5" s="86"/>
      <c r="I5" s="86" t="s">
        <v>197</v>
      </c>
      <c r="J5" s="86"/>
    </row>
    <row r="6" spans="1:10" ht="21.75" customHeight="1" x14ac:dyDescent="0.55000000000000004">
      <c r="A6" s="87" t="s">
        <v>198</v>
      </c>
      <c r="B6" s="87"/>
      <c r="C6" s="88">
        <v>0</v>
      </c>
      <c r="D6" s="88"/>
      <c r="E6" s="88">
        <v>0</v>
      </c>
      <c r="F6" s="88"/>
      <c r="G6" s="89">
        <f>IF(B6=0,0,C6/B6)</f>
        <v>0</v>
      </c>
      <c r="H6" s="89"/>
      <c r="I6" s="88">
        <v>0</v>
      </c>
      <c r="J6" s="88"/>
    </row>
    <row r="7" spans="1:10" ht="21.75" customHeight="1" x14ac:dyDescent="0.55000000000000004">
      <c r="A7" s="90" t="s">
        <v>199</v>
      </c>
      <c r="B7" s="90"/>
      <c r="C7" s="91">
        <v>0</v>
      </c>
      <c r="D7" s="91"/>
      <c r="E7" s="91">
        <v>0</v>
      </c>
      <c r="F7" s="91"/>
      <c r="G7" s="92">
        <f>IF(B7=0,0,C7/B7)</f>
        <v>0</v>
      </c>
      <c r="H7" s="92"/>
      <c r="I7" s="91">
        <v>0</v>
      </c>
      <c r="J7" s="91"/>
    </row>
    <row r="8" spans="1:10" ht="21.75" customHeight="1" x14ac:dyDescent="0.55000000000000004">
      <c r="A8" s="93" t="s">
        <v>200</v>
      </c>
      <c r="B8" s="93"/>
      <c r="C8" s="94">
        <v>0</v>
      </c>
      <c r="D8" s="94"/>
      <c r="E8" s="94">
        <v>0</v>
      </c>
      <c r="F8" s="94"/>
      <c r="G8" s="95">
        <f>IF(B8=0,0,C8/B8)</f>
        <v>0</v>
      </c>
      <c r="H8" s="95"/>
      <c r="I8" s="94">
        <v>0</v>
      </c>
      <c r="J8" s="94"/>
    </row>
    <row r="10" spans="1:10" ht="32.4" customHeight="1" x14ac:dyDescent="0.55000000000000004">
      <c r="A10" s="109" t="s">
        <v>201</v>
      </c>
      <c r="B10" s="110"/>
    </row>
    <row r="11" spans="1:10" ht="25.5" customHeight="1" x14ac:dyDescent="0.55000000000000004">
      <c r="A11" s="53" t="s">
        <v>182</v>
      </c>
      <c r="B11" s="53" t="s">
        <v>202</v>
      </c>
      <c r="C11" s="53" t="s">
        <v>193</v>
      </c>
      <c r="D11" s="53" t="s">
        <v>203</v>
      </c>
      <c r="E11" s="53" t="s">
        <v>158</v>
      </c>
      <c r="F11" s="53" t="s">
        <v>204</v>
      </c>
      <c r="G11" s="53" t="s">
        <v>205</v>
      </c>
      <c r="H11" s="53" t="s">
        <v>184</v>
      </c>
      <c r="I11" s="53" t="s">
        <v>179</v>
      </c>
      <c r="J11" s="53" t="s">
        <v>206</v>
      </c>
    </row>
    <row r="12" spans="1:10" ht="19.5" customHeight="1" x14ac:dyDescent="0.55000000000000004">
      <c r="A12" s="54" t="str">
        <f t="shared" ref="A12:A41" si="0">IF(B12&lt;&gt;"",ROW()-11,"")</f>
        <v/>
      </c>
      <c r="B12" s="54"/>
      <c r="C12" s="54"/>
      <c r="D12" s="54"/>
      <c r="E12" s="55"/>
      <c r="F12" s="54"/>
      <c r="G12" s="54"/>
      <c r="H12" s="54"/>
      <c r="I12" s="54"/>
      <c r="J12" s="54"/>
    </row>
    <row r="13" spans="1:10" ht="19.5" customHeight="1" x14ac:dyDescent="0.55000000000000004">
      <c r="A13" s="56" t="str">
        <f t="shared" si="0"/>
        <v/>
      </c>
      <c r="B13" s="56"/>
      <c r="C13" s="56"/>
      <c r="D13" s="56"/>
      <c r="E13" s="57"/>
      <c r="F13" s="56"/>
      <c r="G13" s="56"/>
      <c r="H13" s="56"/>
      <c r="I13" s="56"/>
      <c r="J13" s="56"/>
    </row>
    <row r="14" spans="1:10" ht="19.5" customHeight="1" x14ac:dyDescent="0.55000000000000004">
      <c r="A14" s="54" t="str">
        <f t="shared" si="0"/>
        <v/>
      </c>
      <c r="B14" s="54"/>
      <c r="C14" s="54"/>
      <c r="D14" s="54"/>
      <c r="E14" s="55"/>
      <c r="F14" s="54"/>
      <c r="G14" s="54"/>
      <c r="H14" s="54"/>
      <c r="I14" s="54"/>
      <c r="J14" s="54"/>
    </row>
    <row r="15" spans="1:10" ht="19.5" customHeight="1" x14ac:dyDescent="0.55000000000000004">
      <c r="A15" s="56" t="str">
        <f t="shared" si="0"/>
        <v/>
      </c>
      <c r="B15" s="56"/>
      <c r="C15" s="56"/>
      <c r="D15" s="56"/>
      <c r="E15" s="57"/>
      <c r="F15" s="56"/>
      <c r="G15" s="56"/>
      <c r="H15" s="56"/>
      <c r="I15" s="56"/>
      <c r="J15" s="56"/>
    </row>
    <row r="16" spans="1:10" ht="19.5" customHeight="1" x14ac:dyDescent="0.55000000000000004">
      <c r="A16" s="54" t="str">
        <f t="shared" si="0"/>
        <v/>
      </c>
      <c r="B16" s="54"/>
      <c r="C16" s="54"/>
      <c r="D16" s="54"/>
      <c r="E16" s="55"/>
      <c r="F16" s="54"/>
      <c r="G16" s="54"/>
      <c r="H16" s="54"/>
      <c r="I16" s="54"/>
      <c r="J16" s="54"/>
    </row>
    <row r="17" spans="1:10" ht="19.5" customHeight="1" x14ac:dyDescent="0.55000000000000004">
      <c r="A17" s="56" t="str">
        <f t="shared" si="0"/>
        <v/>
      </c>
      <c r="B17" s="56"/>
      <c r="C17" s="56"/>
      <c r="D17" s="56"/>
      <c r="E17" s="57"/>
      <c r="F17" s="56"/>
      <c r="G17" s="56"/>
      <c r="H17" s="56"/>
      <c r="I17" s="56"/>
      <c r="J17" s="56"/>
    </row>
    <row r="18" spans="1:10" ht="19.5" customHeight="1" x14ac:dyDescent="0.55000000000000004">
      <c r="A18" s="54" t="str">
        <f t="shared" si="0"/>
        <v/>
      </c>
      <c r="B18" s="54"/>
      <c r="C18" s="54"/>
      <c r="D18" s="54"/>
      <c r="E18" s="55"/>
      <c r="F18" s="54"/>
      <c r="G18" s="54"/>
      <c r="H18" s="54"/>
      <c r="I18" s="54"/>
      <c r="J18" s="54"/>
    </row>
    <row r="19" spans="1:10" ht="19.5" customHeight="1" x14ac:dyDescent="0.55000000000000004">
      <c r="A19" s="56" t="str">
        <f t="shared" si="0"/>
        <v/>
      </c>
      <c r="B19" s="56"/>
      <c r="C19" s="56"/>
      <c r="D19" s="56"/>
      <c r="E19" s="57"/>
      <c r="F19" s="56"/>
      <c r="G19" s="56"/>
      <c r="H19" s="56"/>
      <c r="I19" s="56"/>
      <c r="J19" s="56"/>
    </row>
    <row r="20" spans="1:10" ht="19.5" customHeight="1" x14ac:dyDescent="0.55000000000000004">
      <c r="A20" s="54" t="str">
        <f t="shared" si="0"/>
        <v/>
      </c>
      <c r="B20" s="54"/>
      <c r="C20" s="54"/>
      <c r="D20" s="54"/>
      <c r="E20" s="55"/>
      <c r="F20" s="54"/>
      <c r="G20" s="54"/>
      <c r="H20" s="54"/>
      <c r="I20" s="54"/>
      <c r="J20" s="54"/>
    </row>
    <row r="21" spans="1:10" ht="19.5" customHeight="1" x14ac:dyDescent="0.55000000000000004">
      <c r="A21" s="56" t="str">
        <f t="shared" si="0"/>
        <v/>
      </c>
      <c r="B21" s="56"/>
      <c r="C21" s="56"/>
      <c r="D21" s="56"/>
      <c r="E21" s="57"/>
      <c r="F21" s="56"/>
      <c r="G21" s="56"/>
      <c r="H21" s="56"/>
      <c r="I21" s="56"/>
      <c r="J21" s="56"/>
    </row>
    <row r="22" spans="1:10" ht="19.5" customHeight="1" x14ac:dyDescent="0.55000000000000004">
      <c r="A22" s="54" t="str">
        <f t="shared" si="0"/>
        <v/>
      </c>
      <c r="B22" s="54"/>
      <c r="C22" s="54"/>
      <c r="D22" s="54"/>
      <c r="E22" s="55"/>
      <c r="F22" s="54"/>
      <c r="G22" s="54"/>
      <c r="H22" s="54"/>
      <c r="I22" s="54"/>
      <c r="J22" s="54"/>
    </row>
    <row r="23" spans="1:10" ht="19.5" customHeight="1" x14ac:dyDescent="0.55000000000000004">
      <c r="A23" s="56" t="str">
        <f t="shared" si="0"/>
        <v/>
      </c>
      <c r="B23" s="56"/>
      <c r="C23" s="56"/>
      <c r="D23" s="56"/>
      <c r="E23" s="57"/>
      <c r="F23" s="56"/>
      <c r="G23" s="56"/>
      <c r="H23" s="56"/>
      <c r="I23" s="56"/>
      <c r="J23" s="56"/>
    </row>
    <row r="24" spans="1:10" ht="19.5" customHeight="1" x14ac:dyDescent="0.55000000000000004">
      <c r="A24" s="54" t="str">
        <f t="shared" si="0"/>
        <v/>
      </c>
      <c r="B24" s="54"/>
      <c r="C24" s="54"/>
      <c r="D24" s="54"/>
      <c r="E24" s="55"/>
      <c r="F24" s="54"/>
      <c r="G24" s="54"/>
      <c r="H24" s="54"/>
      <c r="I24" s="54"/>
      <c r="J24" s="54"/>
    </row>
    <row r="25" spans="1:10" ht="19.5" customHeight="1" x14ac:dyDescent="0.55000000000000004">
      <c r="A25" s="56" t="str">
        <f t="shared" si="0"/>
        <v/>
      </c>
      <c r="B25" s="56"/>
      <c r="C25" s="56"/>
      <c r="D25" s="56"/>
      <c r="E25" s="57"/>
      <c r="F25" s="56"/>
      <c r="G25" s="56"/>
      <c r="H25" s="56"/>
      <c r="I25" s="56"/>
      <c r="J25" s="56"/>
    </row>
    <row r="26" spans="1:10" ht="19.5" customHeight="1" x14ac:dyDescent="0.55000000000000004">
      <c r="A26" s="54" t="str">
        <f t="shared" si="0"/>
        <v/>
      </c>
      <c r="B26" s="54"/>
      <c r="C26" s="54"/>
      <c r="D26" s="54"/>
      <c r="E26" s="55"/>
      <c r="F26" s="54"/>
      <c r="G26" s="54"/>
      <c r="H26" s="54"/>
      <c r="I26" s="54"/>
      <c r="J26" s="54"/>
    </row>
    <row r="27" spans="1:10" ht="19.5" customHeight="1" x14ac:dyDescent="0.55000000000000004">
      <c r="A27" s="56" t="str">
        <f t="shared" si="0"/>
        <v/>
      </c>
      <c r="B27" s="56"/>
      <c r="C27" s="56"/>
      <c r="D27" s="56"/>
      <c r="E27" s="57"/>
      <c r="F27" s="56"/>
      <c r="G27" s="56"/>
      <c r="H27" s="56"/>
      <c r="I27" s="56"/>
      <c r="J27" s="56"/>
    </row>
    <row r="28" spans="1:10" ht="19.5" customHeight="1" x14ac:dyDescent="0.55000000000000004">
      <c r="A28" s="54" t="str">
        <f t="shared" si="0"/>
        <v/>
      </c>
      <c r="B28" s="54"/>
      <c r="C28" s="54"/>
      <c r="D28" s="54"/>
      <c r="E28" s="55"/>
      <c r="F28" s="54"/>
      <c r="G28" s="54"/>
      <c r="H28" s="54"/>
      <c r="I28" s="54"/>
      <c r="J28" s="54"/>
    </row>
    <row r="29" spans="1:10" ht="19.5" customHeight="1" x14ac:dyDescent="0.55000000000000004">
      <c r="A29" s="56" t="str">
        <f t="shared" si="0"/>
        <v/>
      </c>
      <c r="B29" s="56"/>
      <c r="C29" s="56"/>
      <c r="D29" s="56"/>
      <c r="E29" s="57"/>
      <c r="F29" s="56"/>
      <c r="G29" s="56"/>
      <c r="H29" s="56"/>
      <c r="I29" s="56"/>
      <c r="J29" s="56"/>
    </row>
    <row r="30" spans="1:10" ht="19.5" customHeight="1" x14ac:dyDescent="0.55000000000000004">
      <c r="A30" s="54" t="str">
        <f t="shared" si="0"/>
        <v/>
      </c>
      <c r="B30" s="54"/>
      <c r="C30" s="54"/>
      <c r="D30" s="54"/>
      <c r="E30" s="55"/>
      <c r="F30" s="54"/>
      <c r="G30" s="54"/>
      <c r="H30" s="54"/>
      <c r="I30" s="54"/>
      <c r="J30" s="54"/>
    </row>
    <row r="31" spans="1:10" ht="19.5" customHeight="1" x14ac:dyDescent="0.55000000000000004">
      <c r="A31" s="56" t="str">
        <f t="shared" si="0"/>
        <v/>
      </c>
      <c r="B31" s="56"/>
      <c r="C31" s="56"/>
      <c r="D31" s="56"/>
      <c r="E31" s="57"/>
      <c r="F31" s="56"/>
      <c r="G31" s="56"/>
      <c r="H31" s="56"/>
      <c r="I31" s="56"/>
      <c r="J31" s="56"/>
    </row>
    <row r="32" spans="1:10" ht="19.5" customHeight="1" x14ac:dyDescent="0.55000000000000004">
      <c r="A32" s="54" t="str">
        <f t="shared" si="0"/>
        <v/>
      </c>
      <c r="B32" s="54"/>
      <c r="C32" s="54"/>
      <c r="D32" s="54"/>
      <c r="E32" s="55"/>
      <c r="F32" s="54"/>
      <c r="G32" s="54"/>
      <c r="H32" s="54"/>
      <c r="I32" s="54"/>
      <c r="J32" s="54"/>
    </row>
    <row r="33" spans="1:10" ht="19.5" customHeight="1" x14ac:dyDescent="0.55000000000000004">
      <c r="A33" s="56" t="str">
        <f t="shared" si="0"/>
        <v/>
      </c>
      <c r="B33" s="56"/>
      <c r="C33" s="56"/>
      <c r="D33" s="56"/>
      <c r="E33" s="57"/>
      <c r="F33" s="56"/>
      <c r="G33" s="56"/>
      <c r="H33" s="56"/>
      <c r="I33" s="56"/>
      <c r="J33" s="56"/>
    </row>
    <row r="34" spans="1:10" ht="19.5" customHeight="1" x14ac:dyDescent="0.55000000000000004">
      <c r="A34" s="54" t="str">
        <f t="shared" si="0"/>
        <v/>
      </c>
      <c r="B34" s="54"/>
      <c r="C34" s="54"/>
      <c r="D34" s="54"/>
      <c r="E34" s="55"/>
      <c r="F34" s="54"/>
      <c r="G34" s="54"/>
      <c r="H34" s="54"/>
      <c r="I34" s="54"/>
      <c r="J34" s="54"/>
    </row>
    <row r="35" spans="1:10" ht="19.5" customHeight="1" x14ac:dyDescent="0.55000000000000004">
      <c r="A35" s="56" t="str">
        <f t="shared" si="0"/>
        <v/>
      </c>
      <c r="B35" s="56"/>
      <c r="C35" s="56"/>
      <c r="D35" s="56"/>
      <c r="E35" s="57"/>
      <c r="F35" s="56"/>
      <c r="G35" s="56"/>
      <c r="H35" s="56"/>
      <c r="I35" s="56"/>
      <c r="J35" s="56"/>
    </row>
    <row r="36" spans="1:10" ht="19.5" customHeight="1" x14ac:dyDescent="0.55000000000000004">
      <c r="A36" s="54" t="str">
        <f t="shared" si="0"/>
        <v/>
      </c>
      <c r="B36" s="54"/>
      <c r="C36" s="54"/>
      <c r="D36" s="54"/>
      <c r="E36" s="55"/>
      <c r="F36" s="54"/>
      <c r="G36" s="54"/>
      <c r="H36" s="54"/>
      <c r="I36" s="54"/>
      <c r="J36" s="54"/>
    </row>
    <row r="37" spans="1:10" ht="19.5" customHeight="1" x14ac:dyDescent="0.55000000000000004">
      <c r="A37" s="56" t="str">
        <f t="shared" si="0"/>
        <v/>
      </c>
      <c r="B37" s="56"/>
      <c r="C37" s="56"/>
      <c r="D37" s="56"/>
      <c r="E37" s="57"/>
      <c r="F37" s="56"/>
      <c r="G37" s="56"/>
      <c r="H37" s="56"/>
      <c r="I37" s="56"/>
      <c r="J37" s="56"/>
    </row>
    <row r="38" spans="1:10" ht="19.5" customHeight="1" x14ac:dyDescent="0.55000000000000004">
      <c r="A38" s="54" t="str">
        <f t="shared" si="0"/>
        <v/>
      </c>
      <c r="B38" s="54"/>
      <c r="C38" s="54"/>
      <c r="D38" s="54"/>
      <c r="E38" s="55"/>
      <c r="F38" s="54"/>
      <c r="G38" s="54"/>
      <c r="H38" s="54"/>
      <c r="I38" s="54"/>
      <c r="J38" s="54"/>
    </row>
    <row r="39" spans="1:10" ht="19.5" customHeight="1" x14ac:dyDescent="0.55000000000000004">
      <c r="A39" s="56" t="str">
        <f t="shared" si="0"/>
        <v/>
      </c>
      <c r="B39" s="56"/>
      <c r="C39" s="56"/>
      <c r="D39" s="56"/>
      <c r="E39" s="57"/>
      <c r="F39" s="56"/>
      <c r="G39" s="56"/>
      <c r="H39" s="56"/>
      <c r="I39" s="56"/>
      <c r="J39" s="56"/>
    </row>
    <row r="40" spans="1:10" ht="19.5" customHeight="1" x14ac:dyDescent="0.55000000000000004">
      <c r="A40" s="54" t="str">
        <f t="shared" si="0"/>
        <v/>
      </c>
      <c r="B40" s="54"/>
      <c r="C40" s="54"/>
      <c r="D40" s="54"/>
      <c r="E40" s="55"/>
      <c r="F40" s="54"/>
      <c r="G40" s="54"/>
      <c r="H40" s="54"/>
      <c r="I40" s="54"/>
      <c r="J40" s="54"/>
    </row>
    <row r="41" spans="1:10" ht="19.5" customHeight="1" x14ac:dyDescent="0.55000000000000004">
      <c r="A41" s="56" t="str">
        <f t="shared" si="0"/>
        <v/>
      </c>
      <c r="B41" s="56"/>
      <c r="C41" s="56"/>
      <c r="D41" s="56"/>
      <c r="E41" s="57"/>
      <c r="F41" s="56"/>
      <c r="G41" s="56"/>
      <c r="H41" s="56"/>
      <c r="I41" s="56"/>
      <c r="J41" s="56"/>
    </row>
    <row r="42" spans="1:10" ht="24" customHeight="1" x14ac:dyDescent="0.55000000000000004">
      <c r="A42" s="58"/>
      <c r="B42" s="58"/>
      <c r="C42" s="58"/>
      <c r="D42" s="58" t="s">
        <v>207</v>
      </c>
      <c r="E42" s="59">
        <f>SUM(E12:E41)</f>
        <v>0</v>
      </c>
      <c r="F42" s="58"/>
      <c r="G42" s="58"/>
      <c r="H42" s="58"/>
      <c r="I42" s="58"/>
      <c r="J42" s="58"/>
    </row>
  </sheetData>
  <mergeCells count="24">
    <mergeCell ref="A10:B10"/>
    <mergeCell ref="A8:B8"/>
    <mergeCell ref="C8:D8"/>
    <mergeCell ref="E8:F8"/>
    <mergeCell ref="G8:H8"/>
    <mergeCell ref="I8:J8"/>
    <mergeCell ref="A7:B7"/>
    <mergeCell ref="C7:D7"/>
    <mergeCell ref="E7:F7"/>
    <mergeCell ref="G7:H7"/>
    <mergeCell ref="I7:J7"/>
    <mergeCell ref="A6:B6"/>
    <mergeCell ref="C6:D6"/>
    <mergeCell ref="E6:F6"/>
    <mergeCell ref="G6:H6"/>
    <mergeCell ref="I6:J6"/>
    <mergeCell ref="A1:J1"/>
    <mergeCell ref="A2:J2"/>
    <mergeCell ref="A5:B5"/>
    <mergeCell ref="C5:D5"/>
    <mergeCell ref="E5:F5"/>
    <mergeCell ref="G5:H5"/>
    <mergeCell ref="I5:J5"/>
    <mergeCell ref="A4:B4"/>
  </mergeCells>
  <conditionalFormatting sqref="I12:I41">
    <cfRule type="expression" dxfId="1" priority="2">
      <formula>I12="✓ À jour"</formula>
    </cfRule>
    <cfRule type="expression" dxfId="0" priority="3">
      <formula>I12="✗ Impayé"</formula>
    </cfRule>
  </conditionalFormatting>
  <dataValidations count="3">
    <dataValidation type="list" allowBlank="1" sqref="C12:C41" xr:uid="{00000000-0002-0000-0400-000000000000}">
      <formula1>"Section 1 – Village,Section 2 – Nationaux,Section 3 – Diaspora"</formula1>
      <formula2>0</formula2>
    </dataValidation>
    <dataValidation type="list" allowBlank="1" sqref="D12:D41" xr:uid="{00000000-0002-0000-0400-000001000000}">
      <formula1>"Résident Thidé (100 MRU),Ville MR (300 MRU),Diaspora Afrique (500 MRU),Diaspora Europe/Am. (1000 MRU),Membre soutien (2000+ MRU)"</formula1>
      <formula2>0</formula2>
    </dataValidation>
    <dataValidation type="list" allowBlank="1" sqref="I12:I41" xr:uid="{00000000-0002-0000-0400-000002000000}">
      <formula1>"✓ À jour,⚠ Partiel,✗ Impayé"</formula1>
      <formula2>0</formula2>
    </dataValidation>
  </dataValidations>
  <pageMargins left="0.75" right="0.75" top="1" bottom="1" header="0.511811023622047" footer="0.511811023622047"/>
  <pageSetup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G19"/>
  <sheetViews>
    <sheetView showGridLines="0" topLeftCell="A5" zoomScaleNormal="100" workbookViewId="0">
      <selection activeCell="G10" sqref="G10"/>
    </sheetView>
  </sheetViews>
  <sheetFormatPr baseColWidth="10" defaultColWidth="8.68359375" defaultRowHeight="14.4" x14ac:dyDescent="0.55000000000000004"/>
  <cols>
    <col min="1" max="1" width="26.15625" customWidth="1"/>
    <col min="2" max="2" width="24" customWidth="1"/>
    <col min="3" max="7" width="20" customWidth="1"/>
  </cols>
  <sheetData>
    <row r="1" spans="1:7" ht="39.75" customHeight="1" x14ac:dyDescent="0.55000000000000004">
      <c r="A1" s="13" t="s">
        <v>208</v>
      </c>
      <c r="B1" s="13"/>
      <c r="C1" s="13"/>
      <c r="D1" s="13"/>
      <c r="E1" s="13"/>
      <c r="F1" s="13"/>
      <c r="G1" s="13"/>
    </row>
    <row r="2" spans="1:7" ht="19.5" customHeight="1" x14ac:dyDescent="0.55000000000000004">
      <c r="A2" s="96" t="s">
        <v>209</v>
      </c>
      <c r="B2" s="96"/>
      <c r="C2" s="96"/>
      <c r="D2" s="96"/>
      <c r="E2" s="96"/>
      <c r="F2" s="96"/>
      <c r="G2" s="96"/>
    </row>
    <row r="4" spans="1:7" ht="27.75" customHeight="1" x14ac:dyDescent="0.55000000000000004">
      <c r="B4" s="60" t="s">
        <v>210</v>
      </c>
      <c r="C4" s="61" t="s">
        <v>211</v>
      </c>
      <c r="D4" s="62" t="s">
        <v>212</v>
      </c>
      <c r="E4" s="123" t="s">
        <v>213</v>
      </c>
    </row>
    <row r="5" spans="1:7" ht="36" customHeight="1" x14ac:dyDescent="0.55000000000000004">
      <c r="B5" s="111">
        <f>'4. Registre Cotisations'!E42</f>
        <v>0</v>
      </c>
      <c r="C5" s="112">
        <f>'3. Registre Dépenses'!E31</f>
        <v>0</v>
      </c>
      <c r="D5" s="113">
        <f>'4. Registre Cotisations'!E42-'3. Registre Dépenses'!E31</f>
        <v>0</v>
      </c>
      <c r="E5" s="124">
        <f>COUNTIF('3. Registre Dépenses'!G6:G8,"🔴 DÉPASSÉ")+COUNTIF('3. Registre Dépenses'!G6:G8,"🟠 ALERTE 80%")</f>
        <v>0</v>
      </c>
    </row>
    <row r="6" spans="1:7" ht="19.5" customHeight="1" x14ac:dyDescent="0.55000000000000004"/>
    <row r="8" spans="1:7" ht="41.7" customHeight="1" x14ac:dyDescent="0.55000000000000004">
      <c r="A8" s="119" t="s">
        <v>214</v>
      </c>
    </row>
    <row r="9" spans="1:7" ht="24" customHeight="1" x14ac:dyDescent="0.55000000000000004">
      <c r="B9" s="63" t="s">
        <v>103</v>
      </c>
      <c r="C9" s="63" t="s">
        <v>104</v>
      </c>
      <c r="D9" s="63" t="s">
        <v>78</v>
      </c>
      <c r="E9" s="63" t="s">
        <v>215</v>
      </c>
      <c r="F9" s="63" t="s">
        <v>216</v>
      </c>
      <c r="G9" s="63" t="s">
        <v>179</v>
      </c>
    </row>
    <row r="10" spans="1:7" ht="21.75" customHeight="1" x14ac:dyDescent="0.55000000000000004">
      <c r="B10" s="47" t="s">
        <v>140</v>
      </c>
      <c r="C10" s="64">
        <v>20000</v>
      </c>
      <c r="D10" s="65" t="s">
        <v>109</v>
      </c>
      <c r="E10" s="64">
        <f>'3. Registre Dépenses'!D6</f>
        <v>0</v>
      </c>
      <c r="F10" s="64">
        <f>'3. Registre Dépenses'!E6</f>
        <v>20000</v>
      </c>
      <c r="G10" s="65" t="str">
        <f>'3. Registre Dépenses'!G6</f>
        <v>🟢 OK</v>
      </c>
    </row>
    <row r="11" spans="1:7" ht="21.75" customHeight="1" x14ac:dyDescent="0.55000000000000004">
      <c r="B11" s="50" t="s">
        <v>180</v>
      </c>
      <c r="C11" s="66">
        <v>100000</v>
      </c>
      <c r="D11" s="67" t="s">
        <v>114</v>
      </c>
      <c r="E11" s="66">
        <f>'3. Registre Dépenses'!D7</f>
        <v>0</v>
      </c>
      <c r="F11" s="66">
        <f>'3. Registre Dépenses'!E7</f>
        <v>100000</v>
      </c>
      <c r="G11" s="67" t="str">
        <f>'3. Registre Dépenses'!G7</f>
        <v>🟢 OK</v>
      </c>
    </row>
    <row r="12" spans="1:7" ht="21.75" customHeight="1" x14ac:dyDescent="0.55000000000000004">
      <c r="B12" s="47" t="s">
        <v>118</v>
      </c>
      <c r="C12" s="64">
        <v>200000</v>
      </c>
      <c r="D12" s="65" t="s">
        <v>119</v>
      </c>
      <c r="E12" s="64">
        <f>'3. Registre Dépenses'!D8</f>
        <v>0</v>
      </c>
      <c r="F12" s="64">
        <f>'3. Registre Dépenses'!E8</f>
        <v>200000</v>
      </c>
      <c r="G12" s="65" t="str">
        <f>'3. Registre Dépenses'!G8</f>
        <v>🟢 OK</v>
      </c>
    </row>
    <row r="14" spans="1:7" ht="37.799999999999997" customHeight="1" x14ac:dyDescent="0.55000000000000004">
      <c r="A14" s="122" t="s">
        <v>217</v>
      </c>
    </row>
    <row r="15" spans="1:7" ht="19.5" customHeight="1" x14ac:dyDescent="0.55000000000000004">
      <c r="B15" s="97" t="s">
        <v>218</v>
      </c>
      <c r="C15" s="97"/>
      <c r="D15" s="97"/>
      <c r="E15" s="97"/>
      <c r="F15" s="97"/>
      <c r="G15" s="97"/>
    </row>
    <row r="16" spans="1:7" ht="19.5" customHeight="1" x14ac:dyDescent="0.55000000000000004">
      <c r="B16" s="98" t="s">
        <v>219</v>
      </c>
      <c r="C16" s="98"/>
      <c r="D16" s="98"/>
      <c r="E16" s="98"/>
      <c r="F16" s="98"/>
      <c r="G16" s="98"/>
    </row>
    <row r="17" spans="2:7" ht="19.5" customHeight="1" x14ac:dyDescent="0.55000000000000004">
      <c r="B17" s="99" t="s">
        <v>220</v>
      </c>
      <c r="C17" s="99"/>
      <c r="D17" s="99"/>
      <c r="E17" s="99"/>
      <c r="F17" s="99"/>
      <c r="G17" s="99"/>
    </row>
    <row r="18" spans="2:7" ht="19.5" customHeight="1" x14ac:dyDescent="0.55000000000000004">
      <c r="B18" s="100" t="s">
        <v>221</v>
      </c>
      <c r="C18" s="100"/>
      <c r="D18" s="100"/>
      <c r="E18" s="100"/>
      <c r="F18" s="100"/>
      <c r="G18" s="100"/>
    </row>
    <row r="19" spans="2:7" ht="19.5" customHeight="1" x14ac:dyDescent="0.55000000000000004">
      <c r="B19" s="99" t="s">
        <v>222</v>
      </c>
      <c r="C19" s="99"/>
      <c r="D19" s="99"/>
      <c r="E19" s="99"/>
      <c r="F19" s="99"/>
      <c r="G19" s="99"/>
    </row>
  </sheetData>
  <mergeCells count="7">
    <mergeCell ref="B18:G18"/>
    <mergeCell ref="B19:G19"/>
    <mergeCell ref="A1:G1"/>
    <mergeCell ref="A2:G2"/>
    <mergeCell ref="B15:G15"/>
    <mergeCell ref="B16:G16"/>
    <mergeCell ref="B17:G17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6</vt:i4>
      </vt:variant>
    </vt:vector>
  </HeadingPairs>
  <TitlesOfParts>
    <vt:vector size="12" baseType="lpstr">
      <vt:lpstr>0. Note d utilisation</vt:lpstr>
      <vt:lpstr>1. Seuils &amp; Autorisations</vt:lpstr>
      <vt:lpstr>2. Bon de Dépense</vt:lpstr>
      <vt:lpstr>3. Registre Dépenses</vt:lpstr>
      <vt:lpstr>4. Registre Cotisations</vt:lpstr>
      <vt:lpstr>5. Tableau de Bord</vt:lpstr>
      <vt:lpstr>'0. Note d utilisation'!Impression_des_titres</vt:lpstr>
      <vt:lpstr>'1. Seuils &amp; Autorisations'!Impression_des_titres</vt:lpstr>
      <vt:lpstr>'2. Bon de Dépense'!Impression_des_titres</vt:lpstr>
      <vt:lpstr>'3. Registre Dépenses'!Impression_des_titres</vt:lpstr>
      <vt:lpstr>'4. Registre Cotisations'!Impression_des_titres</vt:lpstr>
      <vt:lpstr>'5. Tableau de Bord'!Impression_des_titres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Sileymane Alassane Wagne</cp:lastModifiedBy>
  <cp:revision>0</cp:revision>
  <dcterms:created xsi:type="dcterms:W3CDTF">2026-04-04T07:09:27Z</dcterms:created>
  <dcterms:modified xsi:type="dcterms:W3CDTF">2026-04-05T20:31:39Z</dcterms:modified>
  <dc:language>en-US</dc:language>
</cp:coreProperties>
</file>